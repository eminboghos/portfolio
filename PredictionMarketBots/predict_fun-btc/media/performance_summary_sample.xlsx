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735AABD9-0144-4788-AF7A-1E98513DF3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Retur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1" i="2" l="1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9" i="1"/>
  <c r="E7" i="1"/>
  <c r="E6" i="1"/>
  <c r="E5" i="1"/>
  <c r="B5" i="1"/>
</calcChain>
</file>

<file path=xl/sharedStrings.xml><?xml version="1.0" encoding="utf-8"?>
<sst xmlns="http://schemas.openxmlformats.org/spreadsheetml/2006/main" count="258" uniqueCount="28">
  <si>
    <t>Metric</t>
  </si>
  <si>
    <t>Value</t>
  </si>
  <si>
    <t>Total PnL</t>
  </si>
  <si>
    <t>Win Rate</t>
  </si>
  <si>
    <t>Sum Wins</t>
  </si>
  <si>
    <t>Profit Factor</t>
  </si>
  <si>
    <t>Sum Losses</t>
  </si>
  <si>
    <t>Expectancy</t>
  </si>
  <si>
    <t>Max Win</t>
  </si>
  <si>
    <t>Max Drawdown</t>
  </si>
  <si>
    <t>Max Loss</t>
  </si>
  <si>
    <t>Recovery Factor</t>
  </si>
  <si>
    <t>Win Streak (best)</t>
  </si>
  <si>
    <t>Rounds Tracked</t>
  </si>
  <si>
    <t>Skewness</t>
  </si>
  <si>
    <t>Kurtosis</t>
  </si>
  <si>
    <t>Round</t>
  </si>
  <si>
    <t>Return ($)</t>
  </si>
  <si>
    <t>Win/Loss</t>
  </si>
  <si>
    <t>Cumulative PnL ($)</t>
  </si>
  <si>
    <t>Drawdown ($)</t>
  </si>
  <si>
    <t>Rolling Win Rate (20)</t>
  </si>
  <si>
    <t>LOSS</t>
  </si>
  <si>
    <t>WIN</t>
  </si>
  <si>
    <t>PredictFun 15m Bitcoin Market Maker — Performance Summary</t>
  </si>
  <si>
    <t>Live trading statistics · 230 rounds tracked (15min each)</t>
  </si>
  <si>
    <t>Avg Edge (c) /Share</t>
  </si>
  <si>
    <t>Loss Streak (worst)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</si>
</sst>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.00"/>
    <numFmt numFmtId="166" formatCode="0.0000"/>
    <numFmt numFmtId="167" formatCode="\(\$#,##0.00\)"/>
    <numFmt numFmtId="168" formatCode="\$#,##0.00;\(\$#,##0.00\);\-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00C896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b/>
      <sz val="11"/>
      <color rgb="FF1A1A2E"/>
      <name val="Arial"/>
    </font>
    <font>
      <b/>
      <sz val="11"/>
      <color rgb="FF1A6B3C"/>
      <name val="Arial"/>
    </font>
    <font>
      <b/>
      <sz val="11"/>
      <color rgb="FFE74C3C"/>
      <name val="Arial"/>
    </font>
    <font>
      <b/>
      <sz val="13"/>
      <color rgb="FF00C896"/>
      <name val="Arial"/>
    </font>
    <font>
      <b/>
      <sz val="11"/>
      <color rgb="FFFFFFFF"/>
      <name val="Arial"/>
    </font>
    <font>
      <sz val="10"/>
      <color rgb="FF1A1A2E"/>
      <name val="Arial"/>
    </font>
    <font>
      <sz val="10"/>
      <color rgb="FFE74C3C"/>
      <name val="Arial"/>
    </font>
    <font>
      <b/>
      <sz val="10"/>
      <color rgb="FFE74C3C"/>
      <name val="Arial"/>
    </font>
    <font>
      <b/>
      <sz val="10"/>
      <color rgb="FF1A6B3C"/>
      <name val="Arial"/>
    </font>
    <font>
      <sz val="10"/>
      <color rgb="FF1A6B3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4F6FA"/>
      </patternFill>
    </fill>
    <fill>
      <patternFill patternType="solid">
        <fgColor rgb="FFFFFFFF"/>
      </patternFill>
    </fill>
    <fill>
      <patternFill patternType="solid">
        <fgColor rgb="FFFDEDEC"/>
      </patternFill>
    </fill>
    <fill>
      <patternFill patternType="solid">
        <fgColor rgb="FFE8F8F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center" vertical="center"/>
    </xf>
    <xf numFmtId="0" fontId="0" fillId="5" borderId="0" xfId="0" applyFill="1"/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8" fontId="14" fillId="7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Returns!$D$1</c:f>
              <c:strCache>
                <c:ptCount val="1"/>
                <c:pt idx="0">
                  <c:v>Cumulative PnL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Returns!$D$2:$D$231</c:f>
              <c:numCache>
                <c:formatCode>\$#\ ##0.00</c:formatCode>
                <c:ptCount val="230"/>
                <c:pt idx="0">
                  <c:v>-19.1678</c:v>
                </c:pt>
                <c:pt idx="1">
                  <c:v>-30.003900000000002</c:v>
                </c:pt>
                <c:pt idx="2">
                  <c:v>-23.1387</c:v>
                </c:pt>
                <c:pt idx="3">
                  <c:v>-7.1308999999999996</c:v>
                </c:pt>
                <c:pt idx="4">
                  <c:v>-19.8645</c:v>
                </c:pt>
                <c:pt idx="5">
                  <c:v>-7.5496999999999996</c:v>
                </c:pt>
                <c:pt idx="6">
                  <c:v>-15.124599999999999</c:v>
                </c:pt>
                <c:pt idx="7">
                  <c:v>-20.262899999999998</c:v>
                </c:pt>
                <c:pt idx="8">
                  <c:v>-24.237400000000001</c:v>
                </c:pt>
                <c:pt idx="9">
                  <c:v>-31.579000000000001</c:v>
                </c:pt>
                <c:pt idx="10">
                  <c:v>-22.000900000000001</c:v>
                </c:pt>
                <c:pt idx="11">
                  <c:v>-16.347300000000001</c:v>
                </c:pt>
                <c:pt idx="12">
                  <c:v>-9.3081999999999994</c:v>
                </c:pt>
                <c:pt idx="13">
                  <c:v>7.7770000000000001</c:v>
                </c:pt>
                <c:pt idx="14">
                  <c:v>19.762899999999998</c:v>
                </c:pt>
                <c:pt idx="15">
                  <c:v>25.9251</c:v>
                </c:pt>
                <c:pt idx="16">
                  <c:v>51.0854</c:v>
                </c:pt>
                <c:pt idx="17">
                  <c:v>63.686300000000003</c:v>
                </c:pt>
                <c:pt idx="18">
                  <c:v>81.853300000000004</c:v>
                </c:pt>
                <c:pt idx="19">
                  <c:v>93.922799999999995</c:v>
                </c:pt>
                <c:pt idx="20">
                  <c:v>83.010599999999997</c:v>
                </c:pt>
                <c:pt idx="21">
                  <c:v>70.3626</c:v>
                </c:pt>
                <c:pt idx="22">
                  <c:v>45.177300000000002</c:v>
                </c:pt>
                <c:pt idx="23">
                  <c:v>59.322800000000001</c:v>
                </c:pt>
                <c:pt idx="24">
                  <c:v>87.796800000000005</c:v>
                </c:pt>
                <c:pt idx="25">
                  <c:v>86.701599999999999</c:v>
                </c:pt>
                <c:pt idx="26">
                  <c:v>97.485500000000002</c:v>
                </c:pt>
                <c:pt idx="27">
                  <c:v>67.906899999999993</c:v>
                </c:pt>
                <c:pt idx="28">
                  <c:v>75.337100000000007</c:v>
                </c:pt>
                <c:pt idx="29">
                  <c:v>75.337100000000007</c:v>
                </c:pt>
                <c:pt idx="30">
                  <c:v>90.179599999999994</c:v>
                </c:pt>
                <c:pt idx="31">
                  <c:v>105.04859999999999</c:v>
                </c:pt>
                <c:pt idx="32">
                  <c:v>89.97</c:v>
                </c:pt>
                <c:pt idx="33">
                  <c:v>108.6567</c:v>
                </c:pt>
                <c:pt idx="34">
                  <c:v>113.78019999999999</c:v>
                </c:pt>
                <c:pt idx="35">
                  <c:v>104.4924</c:v>
                </c:pt>
                <c:pt idx="36">
                  <c:v>116.92570000000001</c:v>
                </c:pt>
                <c:pt idx="37">
                  <c:v>138.60849999999999</c:v>
                </c:pt>
                <c:pt idx="38">
                  <c:v>150.3433</c:v>
                </c:pt>
                <c:pt idx="39">
                  <c:v>150.68700000000001</c:v>
                </c:pt>
                <c:pt idx="40">
                  <c:v>146.90860000000001</c:v>
                </c:pt>
                <c:pt idx="41">
                  <c:v>135.15379999999999</c:v>
                </c:pt>
                <c:pt idx="42">
                  <c:v>142.66909999999999</c:v>
                </c:pt>
                <c:pt idx="43">
                  <c:v>154.83799999999999</c:v>
                </c:pt>
                <c:pt idx="44">
                  <c:v>148.11420000000001</c:v>
                </c:pt>
                <c:pt idx="45">
                  <c:v>143.77979999999999</c:v>
                </c:pt>
                <c:pt idx="46">
                  <c:v>132.96729999999999</c:v>
                </c:pt>
                <c:pt idx="47">
                  <c:v>145.64099999999999</c:v>
                </c:pt>
                <c:pt idx="48">
                  <c:v>147.26609999999999</c:v>
                </c:pt>
                <c:pt idx="49">
                  <c:v>127.24630000000001</c:v>
                </c:pt>
                <c:pt idx="50">
                  <c:v>130.53710000000001</c:v>
                </c:pt>
                <c:pt idx="51">
                  <c:v>146.28389999999999</c:v>
                </c:pt>
                <c:pt idx="52">
                  <c:v>124.02589999999999</c:v>
                </c:pt>
                <c:pt idx="53">
                  <c:v>138.107</c:v>
                </c:pt>
                <c:pt idx="54">
                  <c:v>146.85310000000001</c:v>
                </c:pt>
                <c:pt idx="55">
                  <c:v>155.4547</c:v>
                </c:pt>
                <c:pt idx="56">
                  <c:v>156.44839999999999</c:v>
                </c:pt>
                <c:pt idx="57">
                  <c:v>162.47749999999999</c:v>
                </c:pt>
                <c:pt idx="58">
                  <c:v>154.7688</c:v>
                </c:pt>
                <c:pt idx="59">
                  <c:v>154.7688</c:v>
                </c:pt>
                <c:pt idx="60">
                  <c:v>165.47049999999999</c:v>
                </c:pt>
                <c:pt idx="61">
                  <c:v>172.88079999999999</c:v>
                </c:pt>
                <c:pt idx="62">
                  <c:v>161.87719999999999</c:v>
                </c:pt>
                <c:pt idx="63">
                  <c:v>177.4127</c:v>
                </c:pt>
                <c:pt idx="64">
                  <c:v>200.8826</c:v>
                </c:pt>
                <c:pt idx="65">
                  <c:v>209.78720000000001</c:v>
                </c:pt>
                <c:pt idx="66">
                  <c:v>209.78720000000001</c:v>
                </c:pt>
                <c:pt idx="67">
                  <c:v>204.3211</c:v>
                </c:pt>
                <c:pt idx="68">
                  <c:v>212.8013</c:v>
                </c:pt>
                <c:pt idx="69">
                  <c:v>214.58260000000001</c:v>
                </c:pt>
                <c:pt idx="70">
                  <c:v>205.9941</c:v>
                </c:pt>
                <c:pt idx="71">
                  <c:v>236.11160000000001</c:v>
                </c:pt>
                <c:pt idx="72">
                  <c:v>245.6662</c:v>
                </c:pt>
                <c:pt idx="73">
                  <c:v>253.8038</c:v>
                </c:pt>
                <c:pt idx="74">
                  <c:v>261.65559999999999</c:v>
                </c:pt>
                <c:pt idx="75">
                  <c:v>277.13049999999998</c:v>
                </c:pt>
                <c:pt idx="76">
                  <c:v>269.76119999999997</c:v>
                </c:pt>
                <c:pt idx="77">
                  <c:v>268.31920000000002</c:v>
                </c:pt>
                <c:pt idx="78">
                  <c:v>259.31110000000001</c:v>
                </c:pt>
                <c:pt idx="79">
                  <c:v>264.47840000000002</c:v>
                </c:pt>
                <c:pt idx="80">
                  <c:v>283.94290000000001</c:v>
                </c:pt>
                <c:pt idx="81">
                  <c:v>283.94290000000001</c:v>
                </c:pt>
                <c:pt idx="82">
                  <c:v>292.13630000000001</c:v>
                </c:pt>
                <c:pt idx="83">
                  <c:v>288.64479999999998</c:v>
                </c:pt>
                <c:pt idx="84">
                  <c:v>304.8417</c:v>
                </c:pt>
                <c:pt idx="85">
                  <c:v>302.44009999999997</c:v>
                </c:pt>
                <c:pt idx="86">
                  <c:v>317.31619999999998</c:v>
                </c:pt>
                <c:pt idx="87">
                  <c:v>313.97739999999999</c:v>
                </c:pt>
                <c:pt idx="88">
                  <c:v>313.2516</c:v>
                </c:pt>
                <c:pt idx="89">
                  <c:v>320.27690000000001</c:v>
                </c:pt>
                <c:pt idx="90">
                  <c:v>338.85579999999999</c:v>
                </c:pt>
                <c:pt idx="91">
                  <c:v>358.19139999999999</c:v>
                </c:pt>
                <c:pt idx="92">
                  <c:v>367.40570000000002</c:v>
                </c:pt>
                <c:pt idx="93">
                  <c:v>376.0849</c:v>
                </c:pt>
                <c:pt idx="94">
                  <c:v>374.69490000000002</c:v>
                </c:pt>
                <c:pt idx="95">
                  <c:v>376.16419999999999</c:v>
                </c:pt>
                <c:pt idx="96">
                  <c:v>383.13080000000002</c:v>
                </c:pt>
                <c:pt idx="97">
                  <c:v>387.04719999999998</c:v>
                </c:pt>
                <c:pt idx="98">
                  <c:v>391.9468</c:v>
                </c:pt>
                <c:pt idx="99">
                  <c:v>380.63159999999999</c:v>
                </c:pt>
                <c:pt idx="100">
                  <c:v>389.24189999999999</c:v>
                </c:pt>
                <c:pt idx="101">
                  <c:v>397.01459999999997</c:v>
                </c:pt>
                <c:pt idx="102">
                  <c:v>394.07310000000001</c:v>
                </c:pt>
                <c:pt idx="103">
                  <c:v>387.24759999999998</c:v>
                </c:pt>
                <c:pt idx="104">
                  <c:v>381.48689999999999</c:v>
                </c:pt>
                <c:pt idx="105">
                  <c:v>387.64819999999997</c:v>
                </c:pt>
                <c:pt idx="106">
                  <c:v>406.04640000000001</c:v>
                </c:pt>
                <c:pt idx="107">
                  <c:v>425.46890000000002</c:v>
                </c:pt>
                <c:pt idx="108">
                  <c:v>420.41840000000002</c:v>
                </c:pt>
                <c:pt idx="109">
                  <c:v>423.44690000000003</c:v>
                </c:pt>
                <c:pt idx="110">
                  <c:v>426.7774</c:v>
                </c:pt>
                <c:pt idx="111">
                  <c:v>421.7527</c:v>
                </c:pt>
                <c:pt idx="112">
                  <c:v>420.89949999999999</c:v>
                </c:pt>
                <c:pt idx="113">
                  <c:v>435.4717</c:v>
                </c:pt>
                <c:pt idx="114">
                  <c:v>435.14580000000001</c:v>
                </c:pt>
                <c:pt idx="115">
                  <c:v>445.55430000000001</c:v>
                </c:pt>
                <c:pt idx="116">
                  <c:v>467.83620000000002</c:v>
                </c:pt>
                <c:pt idx="117">
                  <c:v>460.78949999999998</c:v>
                </c:pt>
                <c:pt idx="118">
                  <c:v>466.58030000000002</c:v>
                </c:pt>
                <c:pt idx="119">
                  <c:v>477.27769999999998</c:v>
                </c:pt>
                <c:pt idx="120">
                  <c:v>494.90899999999999</c:v>
                </c:pt>
                <c:pt idx="121">
                  <c:v>503.6259</c:v>
                </c:pt>
                <c:pt idx="122">
                  <c:v>525.05100000000004</c:v>
                </c:pt>
                <c:pt idx="123">
                  <c:v>514.22940000000006</c:v>
                </c:pt>
                <c:pt idx="124">
                  <c:v>513.89700000000005</c:v>
                </c:pt>
                <c:pt idx="125">
                  <c:v>480.14609999999999</c:v>
                </c:pt>
                <c:pt idx="126">
                  <c:v>480.60700000000003</c:v>
                </c:pt>
                <c:pt idx="127">
                  <c:v>497.7414</c:v>
                </c:pt>
                <c:pt idx="128">
                  <c:v>518.31320000000005</c:v>
                </c:pt>
                <c:pt idx="129">
                  <c:v>519.25609999999995</c:v>
                </c:pt>
                <c:pt idx="130">
                  <c:v>514.60659999999996</c:v>
                </c:pt>
                <c:pt idx="131">
                  <c:v>510.06270000000001</c:v>
                </c:pt>
                <c:pt idx="132">
                  <c:v>552.05550000000005</c:v>
                </c:pt>
                <c:pt idx="133">
                  <c:v>563.87339999999995</c:v>
                </c:pt>
                <c:pt idx="134">
                  <c:v>560.79840000000002</c:v>
                </c:pt>
                <c:pt idx="135">
                  <c:v>571.22950000000003</c:v>
                </c:pt>
                <c:pt idx="136">
                  <c:v>582.45339999999999</c:v>
                </c:pt>
                <c:pt idx="137">
                  <c:v>596.35900000000004</c:v>
                </c:pt>
                <c:pt idx="138">
                  <c:v>621.86869999999999</c:v>
                </c:pt>
                <c:pt idx="139">
                  <c:v>634.5539</c:v>
                </c:pt>
                <c:pt idx="140">
                  <c:v>653.08960000000002</c:v>
                </c:pt>
                <c:pt idx="141">
                  <c:v>662.02940000000001</c:v>
                </c:pt>
                <c:pt idx="142">
                  <c:v>668.93420000000003</c:v>
                </c:pt>
                <c:pt idx="143">
                  <c:v>678.69290000000001</c:v>
                </c:pt>
                <c:pt idx="144">
                  <c:v>679.85310000000004</c:v>
                </c:pt>
                <c:pt idx="145">
                  <c:v>672.64949999999999</c:v>
                </c:pt>
                <c:pt idx="146">
                  <c:v>673.68589999999995</c:v>
                </c:pt>
                <c:pt idx="147">
                  <c:v>683.2998</c:v>
                </c:pt>
                <c:pt idx="148">
                  <c:v>715.74120000000005</c:v>
                </c:pt>
                <c:pt idx="149">
                  <c:v>715.74120000000005</c:v>
                </c:pt>
                <c:pt idx="150">
                  <c:v>720.01679999999999</c:v>
                </c:pt>
                <c:pt idx="151">
                  <c:v>760.30619999999999</c:v>
                </c:pt>
                <c:pt idx="152">
                  <c:v>761.52959999999996</c:v>
                </c:pt>
                <c:pt idx="153">
                  <c:v>770.35149999999999</c:v>
                </c:pt>
                <c:pt idx="154">
                  <c:v>778.02089999999998</c:v>
                </c:pt>
                <c:pt idx="155">
                  <c:v>785.63530000000003</c:v>
                </c:pt>
                <c:pt idx="156">
                  <c:v>785.17370000000005</c:v>
                </c:pt>
                <c:pt idx="157">
                  <c:v>772.49869999999999</c:v>
                </c:pt>
                <c:pt idx="158">
                  <c:v>771.93499999999995</c:v>
                </c:pt>
                <c:pt idx="159">
                  <c:v>773.9828</c:v>
                </c:pt>
                <c:pt idx="160">
                  <c:v>764.28</c:v>
                </c:pt>
                <c:pt idx="161">
                  <c:v>753.8809</c:v>
                </c:pt>
                <c:pt idx="162">
                  <c:v>753.76009999999997</c:v>
                </c:pt>
                <c:pt idx="163">
                  <c:v>749.4366</c:v>
                </c:pt>
                <c:pt idx="164">
                  <c:v>736.7713</c:v>
                </c:pt>
                <c:pt idx="165">
                  <c:v>724.17899999999997</c:v>
                </c:pt>
                <c:pt idx="166">
                  <c:v>727.94709999999998</c:v>
                </c:pt>
                <c:pt idx="167">
                  <c:v>728.37210000000005</c:v>
                </c:pt>
                <c:pt idx="168">
                  <c:v>734.15309999999999</c:v>
                </c:pt>
                <c:pt idx="169">
                  <c:v>780.86559999999997</c:v>
                </c:pt>
                <c:pt idx="170">
                  <c:v>789.11019999999996</c:v>
                </c:pt>
                <c:pt idx="171">
                  <c:v>805.07320000000004</c:v>
                </c:pt>
                <c:pt idx="172">
                  <c:v>822.71320000000003</c:v>
                </c:pt>
                <c:pt idx="173">
                  <c:v>782.31989999999996</c:v>
                </c:pt>
                <c:pt idx="174">
                  <c:v>789.07</c:v>
                </c:pt>
                <c:pt idx="175">
                  <c:v>774.55460000000005</c:v>
                </c:pt>
                <c:pt idx="176">
                  <c:v>781.0942</c:v>
                </c:pt>
                <c:pt idx="177">
                  <c:v>776.0095</c:v>
                </c:pt>
                <c:pt idx="178">
                  <c:v>785.80640000000005</c:v>
                </c:pt>
                <c:pt idx="179">
                  <c:v>796.44820000000004</c:v>
                </c:pt>
                <c:pt idx="180">
                  <c:v>804.27660000000003</c:v>
                </c:pt>
                <c:pt idx="181">
                  <c:v>847.44370000000004</c:v>
                </c:pt>
                <c:pt idx="182">
                  <c:v>844.77750000000003</c:v>
                </c:pt>
                <c:pt idx="183">
                  <c:v>844.77750000000003</c:v>
                </c:pt>
                <c:pt idx="184">
                  <c:v>861.68589999999995</c:v>
                </c:pt>
                <c:pt idx="185">
                  <c:v>871.44259999999997</c:v>
                </c:pt>
                <c:pt idx="186">
                  <c:v>875.90150000000006</c:v>
                </c:pt>
                <c:pt idx="187">
                  <c:v>875.63170000000002</c:v>
                </c:pt>
                <c:pt idx="188">
                  <c:v>873.25109999999995</c:v>
                </c:pt>
                <c:pt idx="189">
                  <c:v>879.3664</c:v>
                </c:pt>
                <c:pt idx="190">
                  <c:v>872.11239999999998</c:v>
                </c:pt>
                <c:pt idx="191">
                  <c:v>895.1934</c:v>
                </c:pt>
                <c:pt idx="192">
                  <c:v>878.86090000000002</c:v>
                </c:pt>
                <c:pt idx="193">
                  <c:v>823.36329999999998</c:v>
                </c:pt>
                <c:pt idx="194">
                  <c:v>827.42049999999995</c:v>
                </c:pt>
                <c:pt idx="195">
                  <c:v>813.16459999999995</c:v>
                </c:pt>
                <c:pt idx="196">
                  <c:v>829.81830000000002</c:v>
                </c:pt>
                <c:pt idx="197">
                  <c:v>858.00829999999996</c:v>
                </c:pt>
                <c:pt idx="198">
                  <c:v>870.52520000000004</c:v>
                </c:pt>
                <c:pt idx="199">
                  <c:v>896.15899999999999</c:v>
                </c:pt>
                <c:pt idx="200">
                  <c:v>909.98860000000002</c:v>
                </c:pt>
                <c:pt idx="201">
                  <c:v>904.96249999999998</c:v>
                </c:pt>
                <c:pt idx="202">
                  <c:v>907.20389999999998</c:v>
                </c:pt>
                <c:pt idx="203">
                  <c:v>903.29650000000004</c:v>
                </c:pt>
                <c:pt idx="204">
                  <c:v>924.1857</c:v>
                </c:pt>
                <c:pt idx="205">
                  <c:v>921.58960000000002</c:v>
                </c:pt>
                <c:pt idx="206">
                  <c:v>932.02440000000001</c:v>
                </c:pt>
                <c:pt idx="207">
                  <c:v>935.66759999999999</c:v>
                </c:pt>
                <c:pt idx="208">
                  <c:v>917.53070000000002</c:v>
                </c:pt>
                <c:pt idx="209">
                  <c:v>916.31989999999996</c:v>
                </c:pt>
                <c:pt idx="210">
                  <c:v>893.76250000000005</c:v>
                </c:pt>
                <c:pt idx="211">
                  <c:v>878.88509999999997</c:v>
                </c:pt>
                <c:pt idx="212">
                  <c:v>877.47329999999999</c:v>
                </c:pt>
                <c:pt idx="213">
                  <c:v>866.65750000000003</c:v>
                </c:pt>
                <c:pt idx="214">
                  <c:v>873.26379999999995</c:v>
                </c:pt>
                <c:pt idx="215">
                  <c:v>904.84609999999998</c:v>
                </c:pt>
                <c:pt idx="216">
                  <c:v>929.30169999999998</c:v>
                </c:pt>
                <c:pt idx="217">
                  <c:v>961.19749999999999</c:v>
                </c:pt>
                <c:pt idx="218">
                  <c:v>960.66290000000004</c:v>
                </c:pt>
                <c:pt idx="219">
                  <c:v>970.14329999999995</c:v>
                </c:pt>
                <c:pt idx="220">
                  <c:v>978.20529999999997</c:v>
                </c:pt>
                <c:pt idx="221">
                  <c:v>998.47630000000004</c:v>
                </c:pt>
                <c:pt idx="222">
                  <c:v>983.41759999999999</c:v>
                </c:pt>
                <c:pt idx="223">
                  <c:v>978.76790000000005</c:v>
                </c:pt>
                <c:pt idx="224">
                  <c:v>981.07899999999995</c:v>
                </c:pt>
                <c:pt idx="225">
                  <c:v>989.67039999999997</c:v>
                </c:pt>
                <c:pt idx="226">
                  <c:v>991.78060000000005</c:v>
                </c:pt>
                <c:pt idx="227">
                  <c:v>998.58019999999999</c:v>
                </c:pt>
                <c:pt idx="228">
                  <c:v>999.62249999999995</c:v>
                </c:pt>
                <c:pt idx="229">
                  <c:v>1008.5608999999999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B-4E0D-82D8-814D225DC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74752"/>
        <c:axId val="20179886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Returns!$A$1</c15:sqref>
                        </c15:formulaRef>
                      </c:ext>
                    </c:extLst>
                    <c:strCache>
                      <c:ptCount val="1"/>
                      <c:pt idx="0">
                        <c:v>Round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Returns!$A$2:$A$231</c15:sqref>
                        </c15:formulaRef>
                      </c:ext>
                    </c:extLst>
                    <c:numCache>
                      <c:formatCode>General</c:formatCode>
                      <c:ptCount val="2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7CB-4E0D-82D8-814D225DC4B6}"/>
                  </c:ext>
                </c:extLst>
              </c15:ser>
            </c15:filteredLineSeries>
          </c:ext>
        </c:extLst>
      </c:lineChart>
      <c:catAx>
        <c:axId val="201797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988672"/>
        <c:crosses val="autoZero"/>
        <c:auto val="1"/>
        <c:lblAlgn val="ctr"/>
        <c:lblOffset val="100"/>
        <c:noMultiLvlLbl val="0"/>
      </c:catAx>
      <c:valAx>
        <c:axId val="20179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97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Returns!$E$1</c:f>
              <c:strCache>
                <c:ptCount val="1"/>
                <c:pt idx="0">
                  <c:v>Drawdown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Returns!$E$2:$E$231</c:f>
              <c:numCache>
                <c:formatCode>\$#\ ##0.00;\(\$#\ ##0.00\);\-</c:formatCode>
                <c:ptCount val="230"/>
                <c:pt idx="0">
                  <c:v>-19.1678</c:v>
                </c:pt>
                <c:pt idx="1">
                  <c:v>-30.003900000000002</c:v>
                </c:pt>
                <c:pt idx="2">
                  <c:v>-23.1387</c:v>
                </c:pt>
                <c:pt idx="3">
                  <c:v>-7.1308999999999996</c:v>
                </c:pt>
                <c:pt idx="4">
                  <c:v>-19.8645</c:v>
                </c:pt>
                <c:pt idx="5">
                  <c:v>-7.5496999999999996</c:v>
                </c:pt>
                <c:pt idx="6">
                  <c:v>-15.124599999999999</c:v>
                </c:pt>
                <c:pt idx="7">
                  <c:v>-20.262899999999998</c:v>
                </c:pt>
                <c:pt idx="8">
                  <c:v>-24.237400000000001</c:v>
                </c:pt>
                <c:pt idx="9">
                  <c:v>-31.579000000000001</c:v>
                </c:pt>
                <c:pt idx="10">
                  <c:v>-22.000900000000001</c:v>
                </c:pt>
                <c:pt idx="11">
                  <c:v>-16.347300000000001</c:v>
                </c:pt>
                <c:pt idx="12">
                  <c:v>-9.3081999999999994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-10.9122</c:v>
                </c:pt>
                <c:pt idx="21">
                  <c:v>-23.560199999999998</c:v>
                </c:pt>
                <c:pt idx="22">
                  <c:v>-48.7455</c:v>
                </c:pt>
                <c:pt idx="23">
                  <c:v>-34.6</c:v>
                </c:pt>
                <c:pt idx="24">
                  <c:v>-6.1260000000000003</c:v>
                </c:pt>
                <c:pt idx="25">
                  <c:v>-7.2211999999999996</c:v>
                </c:pt>
                <c:pt idx="26">
                  <c:v>0</c:v>
                </c:pt>
                <c:pt idx="27">
                  <c:v>-29.578700000000001</c:v>
                </c:pt>
                <c:pt idx="28">
                  <c:v>-22.148499999999999</c:v>
                </c:pt>
                <c:pt idx="29">
                  <c:v>-22.148499999999999</c:v>
                </c:pt>
                <c:pt idx="30">
                  <c:v>-7.3059000000000003</c:v>
                </c:pt>
                <c:pt idx="31">
                  <c:v>0</c:v>
                </c:pt>
                <c:pt idx="32">
                  <c:v>-15.0786</c:v>
                </c:pt>
                <c:pt idx="33">
                  <c:v>0</c:v>
                </c:pt>
                <c:pt idx="34">
                  <c:v>0</c:v>
                </c:pt>
                <c:pt idx="35">
                  <c:v>-9.2878000000000007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-3.7784</c:v>
                </c:pt>
                <c:pt idx="41">
                  <c:v>-15.533200000000001</c:v>
                </c:pt>
                <c:pt idx="42">
                  <c:v>-8.0180000000000007</c:v>
                </c:pt>
                <c:pt idx="43">
                  <c:v>0</c:v>
                </c:pt>
                <c:pt idx="44">
                  <c:v>-6.7237999999999998</c:v>
                </c:pt>
                <c:pt idx="45">
                  <c:v>-11.058199999999999</c:v>
                </c:pt>
                <c:pt idx="46">
                  <c:v>-21.870699999999999</c:v>
                </c:pt>
                <c:pt idx="47">
                  <c:v>-9.1969999999999992</c:v>
                </c:pt>
                <c:pt idx="48">
                  <c:v>-7.5719000000000003</c:v>
                </c:pt>
                <c:pt idx="49">
                  <c:v>-27.591699999999999</c:v>
                </c:pt>
                <c:pt idx="50">
                  <c:v>-24.300899999999999</c:v>
                </c:pt>
                <c:pt idx="51">
                  <c:v>-8.5541</c:v>
                </c:pt>
                <c:pt idx="52">
                  <c:v>-30.812100000000001</c:v>
                </c:pt>
                <c:pt idx="53">
                  <c:v>-16.731000000000002</c:v>
                </c:pt>
                <c:pt idx="54">
                  <c:v>-7.9848999999999997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-7.7087000000000003</c:v>
                </c:pt>
                <c:pt idx="59">
                  <c:v>-7.7087000000000003</c:v>
                </c:pt>
                <c:pt idx="60">
                  <c:v>0</c:v>
                </c:pt>
                <c:pt idx="61">
                  <c:v>0</c:v>
                </c:pt>
                <c:pt idx="62">
                  <c:v>-11.0037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-5.4661999999999997</c:v>
                </c:pt>
                <c:pt idx="68">
                  <c:v>0</c:v>
                </c:pt>
                <c:pt idx="69">
                  <c:v>0</c:v>
                </c:pt>
                <c:pt idx="70">
                  <c:v>-8.5884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-7.3693</c:v>
                </c:pt>
                <c:pt idx="77">
                  <c:v>-8.8112999999999992</c:v>
                </c:pt>
                <c:pt idx="78">
                  <c:v>-17.819400000000002</c:v>
                </c:pt>
                <c:pt idx="79">
                  <c:v>-12.652100000000001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-3.4914999999999998</c:v>
                </c:pt>
                <c:pt idx="84">
                  <c:v>0</c:v>
                </c:pt>
                <c:pt idx="85">
                  <c:v>-2.4016000000000002</c:v>
                </c:pt>
                <c:pt idx="86">
                  <c:v>0</c:v>
                </c:pt>
                <c:pt idx="87">
                  <c:v>-3.3388</c:v>
                </c:pt>
                <c:pt idx="88">
                  <c:v>-4.0646000000000004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-1.3900999999999999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-11.315200000000001</c:v>
                </c:pt>
                <c:pt idx="100">
                  <c:v>-2.7048000000000001</c:v>
                </c:pt>
                <c:pt idx="101">
                  <c:v>0</c:v>
                </c:pt>
                <c:pt idx="102">
                  <c:v>-2.9415</c:v>
                </c:pt>
                <c:pt idx="103">
                  <c:v>-9.7668999999999997</c:v>
                </c:pt>
                <c:pt idx="104">
                  <c:v>-15.527699999999999</c:v>
                </c:pt>
                <c:pt idx="105">
                  <c:v>-9.3663000000000007</c:v>
                </c:pt>
                <c:pt idx="106">
                  <c:v>0</c:v>
                </c:pt>
                <c:pt idx="107">
                  <c:v>0</c:v>
                </c:pt>
                <c:pt idx="108">
                  <c:v>-5.0505000000000004</c:v>
                </c:pt>
                <c:pt idx="109">
                  <c:v>-2.0219999999999998</c:v>
                </c:pt>
                <c:pt idx="110">
                  <c:v>0</c:v>
                </c:pt>
                <c:pt idx="111">
                  <c:v>-5.0247000000000002</c:v>
                </c:pt>
                <c:pt idx="112">
                  <c:v>-5.8779000000000003</c:v>
                </c:pt>
                <c:pt idx="113">
                  <c:v>0</c:v>
                </c:pt>
                <c:pt idx="114">
                  <c:v>-0.32590000000000002</c:v>
                </c:pt>
                <c:pt idx="115">
                  <c:v>0</c:v>
                </c:pt>
                <c:pt idx="116">
                  <c:v>0</c:v>
                </c:pt>
                <c:pt idx="117">
                  <c:v>-7.0467000000000004</c:v>
                </c:pt>
                <c:pt idx="118">
                  <c:v>-1.256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-10.8217</c:v>
                </c:pt>
                <c:pt idx="124">
                  <c:v>-11.154</c:v>
                </c:pt>
                <c:pt idx="125">
                  <c:v>-44.905000000000001</c:v>
                </c:pt>
                <c:pt idx="126">
                  <c:v>-44.444099999999999</c:v>
                </c:pt>
                <c:pt idx="127">
                  <c:v>-27.309699999999999</c:v>
                </c:pt>
                <c:pt idx="128">
                  <c:v>-6.7378999999999998</c:v>
                </c:pt>
                <c:pt idx="129">
                  <c:v>-5.7949999999999999</c:v>
                </c:pt>
                <c:pt idx="130">
                  <c:v>-10.4445</c:v>
                </c:pt>
                <c:pt idx="131">
                  <c:v>-14.988300000000001</c:v>
                </c:pt>
                <c:pt idx="132">
                  <c:v>0</c:v>
                </c:pt>
                <c:pt idx="133">
                  <c:v>0</c:v>
                </c:pt>
                <c:pt idx="134">
                  <c:v>-3.0749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-7.2035999999999998</c:v>
                </c:pt>
                <c:pt idx="146">
                  <c:v>-6.1672000000000002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-0.46150000000000002</c:v>
                </c:pt>
                <c:pt idx="157">
                  <c:v>-13.1366</c:v>
                </c:pt>
                <c:pt idx="158">
                  <c:v>-13.7003</c:v>
                </c:pt>
                <c:pt idx="159">
                  <c:v>-11.6524</c:v>
                </c:pt>
                <c:pt idx="160">
                  <c:v>-21.3552</c:v>
                </c:pt>
                <c:pt idx="161">
                  <c:v>-31.754300000000001</c:v>
                </c:pt>
                <c:pt idx="162">
                  <c:v>-31.8752</c:v>
                </c:pt>
                <c:pt idx="163">
                  <c:v>-36.198700000000002</c:v>
                </c:pt>
                <c:pt idx="164">
                  <c:v>-48.863999999999997</c:v>
                </c:pt>
                <c:pt idx="165">
                  <c:v>-61.456299999999999</c:v>
                </c:pt>
                <c:pt idx="166">
                  <c:v>-57.688200000000002</c:v>
                </c:pt>
                <c:pt idx="167">
                  <c:v>-57.263199999999998</c:v>
                </c:pt>
                <c:pt idx="168">
                  <c:v>-51.482199999999999</c:v>
                </c:pt>
                <c:pt idx="169">
                  <c:v>-4.7697000000000003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-40.3932</c:v>
                </c:pt>
                <c:pt idx="174">
                  <c:v>-33.643099999999997</c:v>
                </c:pt>
                <c:pt idx="175">
                  <c:v>-48.1586</c:v>
                </c:pt>
                <c:pt idx="176">
                  <c:v>-41.618899999999996</c:v>
                </c:pt>
                <c:pt idx="177">
                  <c:v>-46.703699999999998</c:v>
                </c:pt>
                <c:pt idx="178">
                  <c:v>-36.906700000000001</c:v>
                </c:pt>
                <c:pt idx="179">
                  <c:v>-26.265000000000001</c:v>
                </c:pt>
                <c:pt idx="180">
                  <c:v>-18.436499999999999</c:v>
                </c:pt>
                <c:pt idx="181">
                  <c:v>0</c:v>
                </c:pt>
                <c:pt idx="182">
                  <c:v>-2.6663000000000001</c:v>
                </c:pt>
                <c:pt idx="183">
                  <c:v>-2.6663000000000001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-0.26979999999999998</c:v>
                </c:pt>
                <c:pt idx="188">
                  <c:v>-2.6503999999999999</c:v>
                </c:pt>
                <c:pt idx="189">
                  <c:v>0</c:v>
                </c:pt>
                <c:pt idx="190">
                  <c:v>-7.2539999999999996</c:v>
                </c:pt>
                <c:pt idx="191">
                  <c:v>0</c:v>
                </c:pt>
                <c:pt idx="192">
                  <c:v>-16.3325</c:v>
                </c:pt>
                <c:pt idx="193">
                  <c:v>-71.830200000000005</c:v>
                </c:pt>
                <c:pt idx="194">
                  <c:v>-67.772900000000007</c:v>
                </c:pt>
                <c:pt idx="195">
                  <c:v>-82.028800000000004</c:v>
                </c:pt>
                <c:pt idx="196">
                  <c:v>-65.375100000000003</c:v>
                </c:pt>
                <c:pt idx="197">
                  <c:v>-37.185099999999998</c:v>
                </c:pt>
                <c:pt idx="198">
                  <c:v>-24.668299999999999</c:v>
                </c:pt>
                <c:pt idx="199">
                  <c:v>0</c:v>
                </c:pt>
                <c:pt idx="200">
                  <c:v>0</c:v>
                </c:pt>
                <c:pt idx="201">
                  <c:v>-5.0262000000000002</c:v>
                </c:pt>
                <c:pt idx="202">
                  <c:v>-2.7847</c:v>
                </c:pt>
                <c:pt idx="203">
                  <c:v>-6.6920999999999999</c:v>
                </c:pt>
                <c:pt idx="204">
                  <c:v>0</c:v>
                </c:pt>
                <c:pt idx="205">
                  <c:v>-2.5960999999999999</c:v>
                </c:pt>
                <c:pt idx="206">
                  <c:v>0</c:v>
                </c:pt>
                <c:pt idx="207">
                  <c:v>0</c:v>
                </c:pt>
                <c:pt idx="208">
                  <c:v>-18.136900000000001</c:v>
                </c:pt>
                <c:pt idx="209">
                  <c:v>-19.347799999999999</c:v>
                </c:pt>
                <c:pt idx="210">
                  <c:v>-41.905099999999997</c:v>
                </c:pt>
                <c:pt idx="211">
                  <c:v>-56.782600000000002</c:v>
                </c:pt>
                <c:pt idx="212">
                  <c:v>-58.194299999999998</c:v>
                </c:pt>
                <c:pt idx="213">
                  <c:v>-69.010099999999994</c:v>
                </c:pt>
                <c:pt idx="214">
                  <c:v>-62.403799999999997</c:v>
                </c:pt>
                <c:pt idx="215">
                  <c:v>-30.8215</c:v>
                </c:pt>
                <c:pt idx="216">
                  <c:v>-6.3658999999999999</c:v>
                </c:pt>
                <c:pt idx="217">
                  <c:v>0</c:v>
                </c:pt>
                <c:pt idx="218">
                  <c:v>-0.53449999999999998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-15.0587</c:v>
                </c:pt>
                <c:pt idx="223">
                  <c:v>-19.708400000000001</c:v>
                </c:pt>
                <c:pt idx="224">
                  <c:v>-17.397300000000001</c:v>
                </c:pt>
                <c:pt idx="225">
                  <c:v>-8.8058999999999994</c:v>
                </c:pt>
                <c:pt idx="226">
                  <c:v>-6.6957000000000004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9-4ABB-83AE-EEB44C498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988192"/>
        <c:axId val="2017995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Returns!$A$1</c15:sqref>
                        </c15:formulaRef>
                      </c:ext>
                    </c:extLst>
                    <c:strCache>
                      <c:ptCount val="1"/>
                      <c:pt idx="0">
                        <c:v>Round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Returns!$A$2:$A$231</c15:sqref>
                        </c15:formulaRef>
                      </c:ext>
                    </c:extLst>
                    <c:numCache>
                      <c:formatCode>General</c:formatCode>
                      <c:ptCount val="2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AB9-4ABB-83AE-EEB44C49862D}"/>
                  </c:ext>
                </c:extLst>
              </c15:ser>
            </c15:filteredLineSeries>
          </c:ext>
        </c:extLst>
      </c:lineChart>
      <c:catAx>
        <c:axId val="2017988192"/>
        <c:scaling>
          <c:orientation val="minMax"/>
        </c:scaling>
        <c:delete val="0"/>
        <c:axPos val="b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995392"/>
        <c:crosses val="autoZero"/>
        <c:auto val="1"/>
        <c:lblAlgn val="ctr"/>
        <c:lblOffset val="100"/>
        <c:noMultiLvlLbl val="0"/>
      </c:catAx>
      <c:valAx>
        <c:axId val="20179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\ ##0.00;\(\$#\ 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798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Returns!$F$1</c:f>
              <c:strCache>
                <c:ptCount val="1"/>
                <c:pt idx="0">
                  <c:v>Rolling Win Rate (20)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Returns!$F$2:$F$231</c:f>
              <c:numCache>
                <c:formatCode>0.0%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0.5</c:v>
                </c:pt>
                <c:pt idx="4">
                  <c:v>0.4</c:v>
                </c:pt>
                <c:pt idx="5">
                  <c:v>0.5</c:v>
                </c:pt>
                <c:pt idx="6">
                  <c:v>0.42857142857142855</c:v>
                </c:pt>
                <c:pt idx="7">
                  <c:v>0.375</c:v>
                </c:pt>
                <c:pt idx="8">
                  <c:v>0.33333333333333331</c:v>
                </c:pt>
                <c:pt idx="9">
                  <c:v>0.3</c:v>
                </c:pt>
                <c:pt idx="10">
                  <c:v>0.36363636363636365</c:v>
                </c:pt>
                <c:pt idx="11">
                  <c:v>0.41666666666666669</c:v>
                </c:pt>
                <c:pt idx="12">
                  <c:v>0.46153846153846156</c:v>
                </c:pt>
                <c:pt idx="13">
                  <c:v>0.5</c:v>
                </c:pt>
                <c:pt idx="14">
                  <c:v>0.53333333333333333</c:v>
                </c:pt>
                <c:pt idx="15">
                  <c:v>0.5625</c:v>
                </c:pt>
                <c:pt idx="16">
                  <c:v>0.58823529411764708</c:v>
                </c:pt>
                <c:pt idx="17">
                  <c:v>0.61111111111111116</c:v>
                </c:pt>
                <c:pt idx="18">
                  <c:v>0.63157894736842102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</c:v>
                </c:pt>
                <c:pt idx="23">
                  <c:v>0.6</c:v>
                </c:pt>
                <c:pt idx="24">
                  <c:v>0.65</c:v>
                </c:pt>
                <c:pt idx="25">
                  <c:v>0.6</c:v>
                </c:pt>
                <c:pt idx="26">
                  <c:v>0.65</c:v>
                </c:pt>
                <c:pt idx="27">
                  <c:v>0.65</c:v>
                </c:pt>
                <c:pt idx="28">
                  <c:v>0.7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0.65</c:v>
                </c:pt>
                <c:pt idx="42">
                  <c:v>0.7</c:v>
                </c:pt>
                <c:pt idx="43">
                  <c:v>0.7</c:v>
                </c:pt>
                <c:pt idx="44">
                  <c:v>0.65</c:v>
                </c:pt>
                <c:pt idx="45">
                  <c:v>0.65</c:v>
                </c:pt>
                <c:pt idx="46">
                  <c:v>0.6</c:v>
                </c:pt>
                <c:pt idx="47">
                  <c:v>0.65</c:v>
                </c:pt>
                <c:pt idx="48">
                  <c:v>0.65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</c:v>
                </c:pt>
                <c:pt idx="59">
                  <c:v>0.6</c:v>
                </c:pt>
                <c:pt idx="60">
                  <c:v>0.65</c:v>
                </c:pt>
                <c:pt idx="61">
                  <c:v>0.7</c:v>
                </c:pt>
                <c:pt idx="62">
                  <c:v>0.65</c:v>
                </c:pt>
                <c:pt idx="63">
                  <c:v>0.65</c:v>
                </c:pt>
                <c:pt idx="64">
                  <c:v>0.7</c:v>
                </c:pt>
                <c:pt idx="65">
                  <c:v>0.75</c:v>
                </c:pt>
                <c:pt idx="66">
                  <c:v>0.8</c:v>
                </c:pt>
                <c:pt idx="67">
                  <c:v>0.75</c:v>
                </c:pt>
                <c:pt idx="68">
                  <c:v>0.75</c:v>
                </c:pt>
                <c:pt idx="69">
                  <c:v>0.8</c:v>
                </c:pt>
                <c:pt idx="70">
                  <c:v>0.75</c:v>
                </c:pt>
                <c:pt idx="71">
                  <c:v>0.75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0.75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0.75</c:v>
                </c:pt>
                <c:pt idx="83">
                  <c:v>0.7</c:v>
                </c:pt>
                <c:pt idx="84">
                  <c:v>0.7</c:v>
                </c:pt>
                <c:pt idx="85">
                  <c:v>0.65</c:v>
                </c:pt>
                <c:pt idx="86">
                  <c:v>0.65</c:v>
                </c:pt>
                <c:pt idx="87">
                  <c:v>0.65</c:v>
                </c:pt>
                <c:pt idx="88">
                  <c:v>0.6</c:v>
                </c:pt>
                <c:pt idx="89">
                  <c:v>0.6</c:v>
                </c:pt>
                <c:pt idx="90">
                  <c:v>0.65</c:v>
                </c:pt>
                <c:pt idx="91">
                  <c:v>0.65</c:v>
                </c:pt>
                <c:pt idx="92">
                  <c:v>0.65</c:v>
                </c:pt>
                <c:pt idx="93">
                  <c:v>0.65</c:v>
                </c:pt>
                <c:pt idx="94">
                  <c:v>0.6</c:v>
                </c:pt>
                <c:pt idx="95">
                  <c:v>0.6</c:v>
                </c:pt>
                <c:pt idx="96">
                  <c:v>0.65</c:v>
                </c:pt>
                <c:pt idx="97">
                  <c:v>0.7</c:v>
                </c:pt>
                <c:pt idx="98">
                  <c:v>0.75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0.65</c:v>
                </c:pt>
                <c:pt idx="103">
                  <c:v>0.65</c:v>
                </c:pt>
                <c:pt idx="104">
                  <c:v>0.6</c:v>
                </c:pt>
                <c:pt idx="105">
                  <c:v>0.65</c:v>
                </c:pt>
                <c:pt idx="106">
                  <c:v>0.65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0.65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0.55000000000000004</c:v>
                </c:pt>
                <c:pt idx="118">
                  <c:v>0.55000000000000004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0.65</c:v>
                </c:pt>
                <c:pt idx="123">
                  <c:v>0.65</c:v>
                </c:pt>
                <c:pt idx="124">
                  <c:v>0.65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0.65</c:v>
                </c:pt>
                <c:pt idx="129">
                  <c:v>0.65</c:v>
                </c:pt>
                <c:pt idx="130">
                  <c:v>0.6</c:v>
                </c:pt>
                <c:pt idx="131">
                  <c:v>0.6</c:v>
                </c:pt>
                <c:pt idx="132">
                  <c:v>0.65</c:v>
                </c:pt>
                <c:pt idx="133">
                  <c:v>0.65</c:v>
                </c:pt>
                <c:pt idx="134">
                  <c:v>0.65</c:v>
                </c:pt>
                <c:pt idx="135">
                  <c:v>0.65</c:v>
                </c:pt>
                <c:pt idx="136">
                  <c:v>0.65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0.75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0.85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0.95</c:v>
                </c:pt>
                <c:pt idx="155">
                  <c:v>0.95</c:v>
                </c:pt>
                <c:pt idx="156">
                  <c:v>0.9</c:v>
                </c:pt>
                <c:pt idx="157">
                  <c:v>0.85</c:v>
                </c:pt>
                <c:pt idx="158">
                  <c:v>0.8</c:v>
                </c:pt>
                <c:pt idx="159">
                  <c:v>0.8</c:v>
                </c:pt>
                <c:pt idx="160">
                  <c:v>0.75</c:v>
                </c:pt>
                <c:pt idx="161">
                  <c:v>0.7</c:v>
                </c:pt>
                <c:pt idx="162">
                  <c:v>0.65</c:v>
                </c:pt>
                <c:pt idx="163">
                  <c:v>0.6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0.55000000000000004</c:v>
                </c:pt>
                <c:pt idx="168">
                  <c:v>0.55000000000000004</c:v>
                </c:pt>
                <c:pt idx="169">
                  <c:v>0.55000000000000004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0.5</c:v>
                </c:pt>
                <c:pt idx="174">
                  <c:v>0.5</c:v>
                </c:pt>
                <c:pt idx="175">
                  <c:v>0.45</c:v>
                </c:pt>
                <c:pt idx="176">
                  <c:v>0.5</c:v>
                </c:pt>
                <c:pt idx="177">
                  <c:v>0.5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0.6</c:v>
                </c:pt>
                <c:pt idx="181">
                  <c:v>0.65</c:v>
                </c:pt>
                <c:pt idx="182">
                  <c:v>0.65</c:v>
                </c:pt>
                <c:pt idx="183">
                  <c:v>0.7</c:v>
                </c:pt>
                <c:pt idx="184">
                  <c:v>0.75</c:v>
                </c:pt>
                <c:pt idx="185">
                  <c:v>0.8</c:v>
                </c:pt>
                <c:pt idx="186">
                  <c:v>0.8</c:v>
                </c:pt>
                <c:pt idx="187">
                  <c:v>0.75</c:v>
                </c:pt>
                <c:pt idx="188">
                  <c:v>0.7</c:v>
                </c:pt>
                <c:pt idx="189">
                  <c:v>0.7</c:v>
                </c:pt>
                <c:pt idx="190">
                  <c:v>0.65</c:v>
                </c:pt>
                <c:pt idx="191">
                  <c:v>0.65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0.65</c:v>
                </c:pt>
                <c:pt idx="198">
                  <c:v>0.65</c:v>
                </c:pt>
                <c:pt idx="199">
                  <c:v>0.65</c:v>
                </c:pt>
                <c:pt idx="200">
                  <c:v>0.65</c:v>
                </c:pt>
                <c:pt idx="201">
                  <c:v>0.6</c:v>
                </c:pt>
                <c:pt idx="202">
                  <c:v>0.65</c:v>
                </c:pt>
                <c:pt idx="203">
                  <c:v>0.6</c:v>
                </c:pt>
                <c:pt idx="204">
                  <c:v>0.6</c:v>
                </c:pt>
                <c:pt idx="205">
                  <c:v>0.55000000000000004</c:v>
                </c:pt>
                <c:pt idx="206">
                  <c:v>0.55000000000000004</c:v>
                </c:pt>
                <c:pt idx="207">
                  <c:v>0.6</c:v>
                </c:pt>
                <c:pt idx="208">
                  <c:v>0.6</c:v>
                </c:pt>
                <c:pt idx="209">
                  <c:v>0.55000000000000004</c:v>
                </c:pt>
                <c:pt idx="210">
                  <c:v>0.55000000000000004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0.55000000000000004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0.55000000000000004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0.55000000000000004</c:v>
                </c:pt>
                <c:pt idx="226">
                  <c:v>0.55000000000000004</c:v>
                </c:pt>
                <c:pt idx="227">
                  <c:v>0.55000000000000004</c:v>
                </c:pt>
                <c:pt idx="228">
                  <c:v>0.6</c:v>
                </c:pt>
                <c:pt idx="22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9-48B4-9BCD-D034DA06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870960"/>
        <c:axId val="1718871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Returns!$A$1</c15:sqref>
                        </c15:formulaRef>
                      </c:ext>
                    </c:extLst>
                    <c:strCache>
                      <c:ptCount val="1"/>
                      <c:pt idx="0">
                        <c:v>Round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Returns!$A$2:$A$231</c15:sqref>
                        </c15:formulaRef>
                      </c:ext>
                    </c:extLst>
                    <c:numCache>
                      <c:formatCode>General</c:formatCode>
                      <c:ptCount val="2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1B9-48B4-9BCD-D034DA06EB87}"/>
                  </c:ext>
                </c:extLst>
              </c15:ser>
            </c15:filteredLineSeries>
          </c:ext>
        </c:extLst>
      </c:lineChart>
      <c:catAx>
        <c:axId val="171887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871440"/>
        <c:crosses val="autoZero"/>
        <c:auto val="1"/>
        <c:lblAlgn val="ctr"/>
        <c:lblOffset val="100"/>
        <c:noMultiLvlLbl val="0"/>
      </c:catAx>
      <c:valAx>
        <c:axId val="171887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87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448234</xdr:colOff>
      <xdr:row>0</xdr:row>
      <xdr:rowOff>251011</xdr:rowOff>
    </xdr:from>
    <xdr:to>
      <xdr:col>15</xdr:col>
      <xdr:colOff>170327</xdr:colOff>
      <xdr:row>11</xdr:row>
      <xdr:rowOff>259976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7B77A1-880A-4FA4-A51E-8FA9FABA1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179294</xdr:colOff>
      <xdr:row>13</xdr:row>
      <xdr:rowOff>107575</xdr:rowOff>
    </xdr:from>
    <xdr:to>
      <xdr:col>14</xdr:col>
      <xdr:colOff>331694</xdr:colOff>
      <xdr:row>30</xdr:row>
      <xdr:rowOff>71716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213636-D006-4457-A29E-77F6728FC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179293</xdr:colOff>
      <xdr:row>13</xdr:row>
      <xdr:rowOff>134470</xdr:rowOff>
    </xdr:from>
    <xdr:to>
      <xdr:col>4</xdr:col>
      <xdr:colOff>941292</xdr:colOff>
      <xdr:row>30</xdr:row>
      <xdr:rowOff>53788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F1DE9AF-647F-4B73-B6A6-3E1F12DFE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85" zoomScaleNormal="85" workbookViewId="0">
      <selection activeCell="R22" sqref="R22"/>
    </sheetView>
  </sheetViews>
  <sheetFormatPr baseColWidth="10" defaultColWidth="8.88671875" defaultRowHeight="14.4" x14ac:dyDescent="0.3"/>
  <cols>
    <col min="1" max="1" width="22" customWidth="1"/>
    <col min="2" max="2" width="16" customWidth="1"/>
    <col min="3" max="3" width="3" customWidth="1"/>
    <col min="4" max="4" width="22" customWidth="1"/>
    <col min="5" max="5" width="16" customWidth="1"/>
    <col min="6" max="6" width="3" customWidth="1"/>
  </cols>
  <sheetData>
    <row r="1" spans="1:6" ht="36" customHeight="1" x14ac:dyDescent="0.3">
      <c r="A1" s="25" t="s">
        <v>24</v>
      </c>
      <c r="B1" s="24"/>
      <c r="C1" s="24"/>
      <c r="D1" s="24"/>
      <c r="E1" s="24"/>
      <c r="F1" s="24"/>
    </row>
    <row r="2" spans="1:6" ht="19.95" customHeight="1" x14ac:dyDescent="0.3">
      <c r="A2" s="23" t="s">
        <v>25</v>
      </c>
      <c r="B2" s="24"/>
      <c r="C2" s="24"/>
      <c r="D2" s="24"/>
      <c r="E2" s="24"/>
      <c r="F2" s="24"/>
    </row>
    <row r="3" spans="1:6" ht="10.050000000000001" customHeight="1" x14ac:dyDescent="0.3">
      <c r="A3" t="s">
        <v>0</v>
      </c>
      <c r="B3" t="s">
        <v>1</v>
      </c>
      <c r="D3" t="s">
        <v>0</v>
      </c>
      <c r="E3" t="s">
        <v>1</v>
      </c>
    </row>
    <row r="4" spans="1:6" ht="22.05" customHeight="1" x14ac:dyDescent="0.3">
      <c r="A4" s="1"/>
      <c r="B4" s="1"/>
      <c r="C4" s="1"/>
      <c r="D4" s="1"/>
      <c r="E4" s="1"/>
      <c r="F4" s="1"/>
    </row>
    <row r="5" spans="1:6" ht="22.05" customHeight="1" x14ac:dyDescent="0.3">
      <c r="A5" s="2" t="s">
        <v>2</v>
      </c>
      <c r="B5" s="3">
        <f>$B$6+$B$7+$B$8+$B$9+$B$10</f>
        <v>1009.77</v>
      </c>
      <c r="C5" s="4"/>
      <c r="D5" s="2" t="s">
        <v>3</v>
      </c>
      <c r="E5" s="5">
        <f>COUNTIF(Returns!C2:C231,"WIN")/230</f>
        <v>0.65217391304347827</v>
      </c>
      <c r="F5" s="4"/>
    </row>
    <row r="6" spans="1:6" ht="22.05" customHeight="1" x14ac:dyDescent="0.3">
      <c r="A6" s="2" t="s">
        <v>4</v>
      </c>
      <c r="B6" s="6">
        <v>1753.19</v>
      </c>
      <c r="C6" s="4"/>
      <c r="D6" s="2" t="s">
        <v>5</v>
      </c>
      <c r="E6" s="7">
        <f>ABS(B6/B7)</f>
        <v>2.3544444892094063</v>
      </c>
      <c r="F6" s="4"/>
    </row>
    <row r="7" spans="1:6" ht="22.05" customHeight="1" x14ac:dyDescent="0.3">
      <c r="A7" s="2" t="s">
        <v>6</v>
      </c>
      <c r="B7" s="8">
        <v>-744.63</v>
      </c>
      <c r="C7" s="4"/>
      <c r="D7" s="2" t="s">
        <v>7</v>
      </c>
      <c r="E7" s="6">
        <f>B5/230</f>
        <v>4.3903043478260866</v>
      </c>
      <c r="F7" s="4"/>
    </row>
    <row r="8" spans="1:6" ht="22.05" customHeight="1" x14ac:dyDescent="0.3">
      <c r="A8" s="2" t="s">
        <v>8</v>
      </c>
      <c r="B8" s="6">
        <v>46.71</v>
      </c>
      <c r="C8" s="4"/>
      <c r="D8" s="2" t="s">
        <v>9</v>
      </c>
      <c r="E8" s="6">
        <v>82.03</v>
      </c>
      <c r="F8" s="4"/>
    </row>
    <row r="9" spans="1:6" ht="22.05" customHeight="1" x14ac:dyDescent="0.3">
      <c r="A9" s="2" t="s">
        <v>10</v>
      </c>
      <c r="B9" s="8">
        <v>-55.5</v>
      </c>
      <c r="C9" s="4"/>
      <c r="D9" s="2" t="s">
        <v>11</v>
      </c>
      <c r="E9" s="7">
        <f>B5/E8</f>
        <v>12.309764720224308</v>
      </c>
      <c r="F9" s="4"/>
    </row>
    <row r="10" spans="1:6" ht="22.05" customHeight="1" x14ac:dyDescent="0.3">
      <c r="A10" s="2" t="s">
        <v>12</v>
      </c>
      <c r="B10" s="9">
        <v>10</v>
      </c>
      <c r="C10" s="4"/>
      <c r="D10" s="2" t="s">
        <v>27</v>
      </c>
      <c r="E10" s="10">
        <v>-6</v>
      </c>
      <c r="F10" s="4"/>
    </row>
    <row r="11" spans="1:6" ht="22.05" customHeight="1" x14ac:dyDescent="0.3">
      <c r="A11" s="2" t="s">
        <v>13</v>
      </c>
      <c r="B11" s="9">
        <v>230</v>
      </c>
      <c r="C11" s="4"/>
      <c r="D11" s="2" t="s">
        <v>14</v>
      </c>
      <c r="E11" s="11">
        <v>-0.28189999999999998</v>
      </c>
      <c r="F11" s="4"/>
    </row>
    <row r="12" spans="1:6" ht="22.05" customHeight="1" x14ac:dyDescent="0.3">
      <c r="A12" s="2" t="s">
        <v>26</v>
      </c>
      <c r="B12" s="12">
        <v>2.2557</v>
      </c>
      <c r="C12" s="4"/>
      <c r="D12" s="2" t="s">
        <v>15</v>
      </c>
      <c r="E12" s="11">
        <v>2.0548999999999999</v>
      </c>
      <c r="F12" s="4"/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1"/>
  <sheetViews>
    <sheetView workbookViewId="0">
      <selection activeCell="G77" sqref="G77"/>
    </sheetView>
  </sheetViews>
  <sheetFormatPr baseColWidth="10" defaultColWidth="8.88671875" defaultRowHeight="14.4" x14ac:dyDescent="0.3"/>
  <cols>
    <col min="1" max="6" width="22" customWidth="1"/>
  </cols>
  <sheetData>
    <row r="1" spans="1:6" ht="22.05" customHeight="1" x14ac:dyDescent="0.3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</row>
    <row r="2" spans="1:6" x14ac:dyDescent="0.3">
      <c r="A2" s="14">
        <v>1</v>
      </c>
      <c r="B2" s="15">
        <v>-19.1678</v>
      </c>
      <c r="C2" s="16" t="s">
        <v>22</v>
      </c>
      <c r="D2" s="17">
        <v>-19.1678</v>
      </c>
      <c r="E2" s="18">
        <v>-19.1678</v>
      </c>
      <c r="F2" s="19">
        <f>COUNTIF($C$2:C2,"WIN")/(ROW()-1)</f>
        <v>0</v>
      </c>
    </row>
    <row r="3" spans="1:6" x14ac:dyDescent="0.3">
      <c r="A3" s="14">
        <v>2</v>
      </c>
      <c r="B3" s="15">
        <v>-10.8361</v>
      </c>
      <c r="C3" s="16" t="s">
        <v>22</v>
      </c>
      <c r="D3" s="17">
        <v>-30.003900000000002</v>
      </c>
      <c r="E3" s="18">
        <v>-30.003900000000002</v>
      </c>
      <c r="F3" s="19">
        <f>COUNTIF($C$2:C3,"WIN")/(ROW()-1)</f>
        <v>0</v>
      </c>
    </row>
    <row r="4" spans="1:6" x14ac:dyDescent="0.3">
      <c r="A4" s="14">
        <v>3</v>
      </c>
      <c r="B4" s="20">
        <v>6.8651999999999997</v>
      </c>
      <c r="C4" s="21" t="s">
        <v>23</v>
      </c>
      <c r="D4" s="17">
        <v>-23.1387</v>
      </c>
      <c r="E4" s="18">
        <v>-23.1387</v>
      </c>
      <c r="F4" s="19">
        <f>COUNTIF($C$2:C4,"WIN")/(ROW()-1)</f>
        <v>0.33333333333333331</v>
      </c>
    </row>
    <row r="5" spans="1:6" x14ac:dyDescent="0.3">
      <c r="A5" s="14">
        <v>4</v>
      </c>
      <c r="B5" s="20">
        <v>16.0078</v>
      </c>
      <c r="C5" s="21" t="s">
        <v>23</v>
      </c>
      <c r="D5" s="17">
        <v>-7.1308999999999996</v>
      </c>
      <c r="E5" s="18">
        <v>-7.1308999999999996</v>
      </c>
      <c r="F5" s="19">
        <f>COUNTIF($C$2:C5,"WIN")/(ROW()-1)</f>
        <v>0.5</v>
      </c>
    </row>
    <row r="6" spans="1:6" x14ac:dyDescent="0.3">
      <c r="A6" s="14">
        <v>5</v>
      </c>
      <c r="B6" s="15">
        <v>-12.733599999999999</v>
      </c>
      <c r="C6" s="16" t="s">
        <v>22</v>
      </c>
      <c r="D6" s="17">
        <v>-19.8645</v>
      </c>
      <c r="E6" s="18">
        <v>-19.8645</v>
      </c>
      <c r="F6" s="19">
        <f>COUNTIF($C$2:C6,"WIN")/(ROW()-1)</f>
        <v>0.4</v>
      </c>
    </row>
    <row r="7" spans="1:6" x14ac:dyDescent="0.3">
      <c r="A7" s="14">
        <v>6</v>
      </c>
      <c r="B7" s="20">
        <v>12.3148</v>
      </c>
      <c r="C7" s="21" t="s">
        <v>23</v>
      </c>
      <c r="D7" s="17">
        <v>-7.5496999999999996</v>
      </c>
      <c r="E7" s="18">
        <v>-7.5496999999999996</v>
      </c>
      <c r="F7" s="19">
        <f>COUNTIF($C$2:C7,"WIN")/(ROW()-1)</f>
        <v>0.5</v>
      </c>
    </row>
    <row r="8" spans="1:6" x14ac:dyDescent="0.3">
      <c r="A8" s="14">
        <v>7</v>
      </c>
      <c r="B8" s="15">
        <v>-7.5750000000000002</v>
      </c>
      <c r="C8" s="16" t="s">
        <v>22</v>
      </c>
      <c r="D8" s="17">
        <v>-15.124599999999999</v>
      </c>
      <c r="E8" s="18">
        <v>-15.124599999999999</v>
      </c>
      <c r="F8" s="19">
        <f>COUNTIF($C$2:C8,"WIN")/(ROW()-1)</f>
        <v>0.42857142857142855</v>
      </c>
    </row>
    <row r="9" spans="1:6" x14ac:dyDescent="0.3">
      <c r="A9" s="14">
        <v>8</v>
      </c>
      <c r="B9" s="15">
        <v>-5.1383000000000001</v>
      </c>
      <c r="C9" s="16" t="s">
        <v>22</v>
      </c>
      <c r="D9" s="17">
        <v>-20.262899999999998</v>
      </c>
      <c r="E9" s="18">
        <v>-20.262899999999998</v>
      </c>
      <c r="F9" s="19">
        <f>COUNTIF($C$2:C9,"WIN")/(ROW()-1)</f>
        <v>0.375</v>
      </c>
    </row>
    <row r="10" spans="1:6" x14ac:dyDescent="0.3">
      <c r="A10" s="14">
        <v>9</v>
      </c>
      <c r="B10" s="15">
        <v>-3.9744999999999999</v>
      </c>
      <c r="C10" s="16" t="s">
        <v>22</v>
      </c>
      <c r="D10" s="17">
        <v>-24.237400000000001</v>
      </c>
      <c r="E10" s="18">
        <v>-24.237400000000001</v>
      </c>
      <c r="F10" s="19">
        <f>COUNTIF($C$2:C10,"WIN")/(ROW()-1)</f>
        <v>0.33333333333333331</v>
      </c>
    </row>
    <row r="11" spans="1:6" x14ac:dyDescent="0.3">
      <c r="A11" s="14">
        <v>10</v>
      </c>
      <c r="B11" s="15">
        <v>-7.3415999999999997</v>
      </c>
      <c r="C11" s="16" t="s">
        <v>22</v>
      </c>
      <c r="D11" s="17">
        <v>-31.579000000000001</v>
      </c>
      <c r="E11" s="18">
        <v>-31.579000000000001</v>
      </c>
      <c r="F11" s="19">
        <f>COUNTIF($C$2:C11,"WIN")/(ROW()-1)</f>
        <v>0.3</v>
      </c>
    </row>
    <row r="12" spans="1:6" x14ac:dyDescent="0.3">
      <c r="A12" s="14">
        <v>11</v>
      </c>
      <c r="B12" s="20">
        <v>9.5780999999999992</v>
      </c>
      <c r="C12" s="21" t="s">
        <v>23</v>
      </c>
      <c r="D12" s="17">
        <v>-22.000900000000001</v>
      </c>
      <c r="E12" s="18">
        <v>-22.000900000000001</v>
      </c>
      <c r="F12" s="19">
        <f>COUNTIF($C$2:C12,"WIN")/(ROW()-1)</f>
        <v>0.36363636363636365</v>
      </c>
    </row>
    <row r="13" spans="1:6" x14ac:dyDescent="0.3">
      <c r="A13" s="14">
        <v>12</v>
      </c>
      <c r="B13" s="20">
        <v>5.6536</v>
      </c>
      <c r="C13" s="21" t="s">
        <v>23</v>
      </c>
      <c r="D13" s="17">
        <v>-16.347300000000001</v>
      </c>
      <c r="E13" s="18">
        <v>-16.347300000000001</v>
      </c>
      <c r="F13" s="19">
        <f>COUNTIF($C$2:C13,"WIN")/(ROW()-1)</f>
        <v>0.41666666666666669</v>
      </c>
    </row>
    <row r="14" spans="1:6" x14ac:dyDescent="0.3">
      <c r="A14" s="14">
        <v>13</v>
      </c>
      <c r="B14" s="20">
        <v>7.0389999999999997</v>
      </c>
      <c r="C14" s="21" t="s">
        <v>23</v>
      </c>
      <c r="D14" s="17">
        <v>-9.3081999999999994</v>
      </c>
      <c r="E14" s="18">
        <v>-9.3081999999999994</v>
      </c>
      <c r="F14" s="19">
        <f>COUNTIF($C$2:C14,"WIN")/(ROW()-1)</f>
        <v>0.46153846153846156</v>
      </c>
    </row>
    <row r="15" spans="1:6" x14ac:dyDescent="0.3">
      <c r="A15" s="14">
        <v>14</v>
      </c>
      <c r="B15" s="20">
        <v>17.0852</v>
      </c>
      <c r="C15" s="21" t="s">
        <v>23</v>
      </c>
      <c r="D15" s="17">
        <v>7.7770000000000001</v>
      </c>
      <c r="E15" s="22">
        <v>0</v>
      </c>
      <c r="F15" s="19">
        <f>COUNTIF($C$2:C15,"WIN")/(ROW()-1)</f>
        <v>0.5</v>
      </c>
    </row>
    <row r="16" spans="1:6" x14ac:dyDescent="0.3">
      <c r="A16" s="14">
        <v>15</v>
      </c>
      <c r="B16" s="20">
        <v>11.986000000000001</v>
      </c>
      <c r="C16" s="21" t="s">
        <v>23</v>
      </c>
      <c r="D16" s="17">
        <v>19.762899999999998</v>
      </c>
      <c r="E16" s="22">
        <v>0</v>
      </c>
      <c r="F16" s="19">
        <f>COUNTIF($C$2:C16,"WIN")/(ROW()-1)</f>
        <v>0.53333333333333333</v>
      </c>
    </row>
    <row r="17" spans="1:6" x14ac:dyDescent="0.3">
      <c r="A17" s="14">
        <v>16</v>
      </c>
      <c r="B17" s="20">
        <v>6.1622000000000003</v>
      </c>
      <c r="C17" s="21" t="s">
        <v>23</v>
      </c>
      <c r="D17" s="17">
        <v>25.9251</v>
      </c>
      <c r="E17" s="22">
        <v>0</v>
      </c>
      <c r="F17" s="19">
        <f>COUNTIF($C$2:C17,"WIN")/(ROW()-1)</f>
        <v>0.5625</v>
      </c>
    </row>
    <row r="18" spans="1:6" x14ac:dyDescent="0.3">
      <c r="A18" s="14">
        <v>17</v>
      </c>
      <c r="B18" s="20">
        <v>25.160299999999999</v>
      </c>
      <c r="C18" s="21" t="s">
        <v>23</v>
      </c>
      <c r="D18" s="17">
        <v>51.0854</v>
      </c>
      <c r="E18" s="22">
        <v>0</v>
      </c>
      <c r="F18" s="19">
        <f>COUNTIF($C$2:C18,"WIN")/(ROW()-1)</f>
        <v>0.58823529411764708</v>
      </c>
    </row>
    <row r="19" spans="1:6" x14ac:dyDescent="0.3">
      <c r="A19" s="14">
        <v>18</v>
      </c>
      <c r="B19" s="20">
        <v>12.600899999999999</v>
      </c>
      <c r="C19" s="21" t="s">
        <v>23</v>
      </c>
      <c r="D19" s="17">
        <v>63.686300000000003</v>
      </c>
      <c r="E19" s="22">
        <v>0</v>
      </c>
      <c r="F19" s="19">
        <f>COUNTIF($C$2:C19,"WIN")/(ROW()-1)</f>
        <v>0.61111111111111116</v>
      </c>
    </row>
    <row r="20" spans="1:6" x14ac:dyDescent="0.3">
      <c r="A20" s="14">
        <v>19</v>
      </c>
      <c r="B20" s="20">
        <v>18.167000000000002</v>
      </c>
      <c r="C20" s="21" t="s">
        <v>23</v>
      </c>
      <c r="D20" s="17">
        <v>81.853300000000004</v>
      </c>
      <c r="E20" s="22">
        <v>0</v>
      </c>
      <c r="F20" s="19">
        <f>COUNTIF($C$2:C20,"WIN")/(ROW()-1)</f>
        <v>0.63157894736842102</v>
      </c>
    </row>
    <row r="21" spans="1:6" x14ac:dyDescent="0.3">
      <c r="A21" s="14">
        <v>20</v>
      </c>
      <c r="B21" s="20">
        <v>12.0695</v>
      </c>
      <c r="C21" s="21" t="s">
        <v>23</v>
      </c>
      <c r="D21" s="17">
        <v>93.922799999999995</v>
      </c>
      <c r="E21" s="22">
        <v>0</v>
      </c>
      <c r="F21" s="19">
        <f>COUNTIF($C$2:C21,"WIN")/(ROW()-1)</f>
        <v>0.65</v>
      </c>
    </row>
    <row r="22" spans="1:6" x14ac:dyDescent="0.3">
      <c r="A22" s="14">
        <v>21</v>
      </c>
      <c r="B22" s="15">
        <v>-10.9122</v>
      </c>
      <c r="C22" s="16" t="s">
        <v>22</v>
      </c>
      <c r="D22" s="17">
        <v>83.010599999999997</v>
      </c>
      <c r="E22" s="18">
        <v>-10.9122</v>
      </c>
      <c r="F22" s="19">
        <f t="shared" ref="F22:F85" si="0">COUNTIF(C3:C22,"WIN")/20</f>
        <v>0.65</v>
      </c>
    </row>
    <row r="23" spans="1:6" x14ac:dyDescent="0.3">
      <c r="A23" s="14">
        <v>22</v>
      </c>
      <c r="B23" s="15">
        <v>-12.648</v>
      </c>
      <c r="C23" s="16" t="s">
        <v>22</v>
      </c>
      <c r="D23" s="17">
        <v>70.3626</v>
      </c>
      <c r="E23" s="18">
        <v>-23.560199999999998</v>
      </c>
      <c r="F23" s="19">
        <f t="shared" si="0"/>
        <v>0.65</v>
      </c>
    </row>
    <row r="24" spans="1:6" x14ac:dyDescent="0.3">
      <c r="A24" s="14">
        <v>23</v>
      </c>
      <c r="B24" s="15">
        <v>-25.185300000000002</v>
      </c>
      <c r="C24" s="16" t="s">
        <v>22</v>
      </c>
      <c r="D24" s="17">
        <v>45.177300000000002</v>
      </c>
      <c r="E24" s="18">
        <v>-48.7455</v>
      </c>
      <c r="F24" s="19">
        <f t="shared" si="0"/>
        <v>0.6</v>
      </c>
    </row>
    <row r="25" spans="1:6" x14ac:dyDescent="0.3">
      <c r="A25" s="14">
        <v>24</v>
      </c>
      <c r="B25" s="20">
        <v>14.1455</v>
      </c>
      <c r="C25" s="21" t="s">
        <v>23</v>
      </c>
      <c r="D25" s="17">
        <v>59.322800000000001</v>
      </c>
      <c r="E25" s="18">
        <v>-34.6</v>
      </c>
      <c r="F25" s="19">
        <f t="shared" si="0"/>
        <v>0.6</v>
      </c>
    </row>
    <row r="26" spans="1:6" x14ac:dyDescent="0.3">
      <c r="A26" s="14">
        <v>25</v>
      </c>
      <c r="B26" s="20">
        <v>28.474</v>
      </c>
      <c r="C26" s="21" t="s">
        <v>23</v>
      </c>
      <c r="D26" s="17">
        <v>87.796800000000005</v>
      </c>
      <c r="E26" s="18">
        <v>-6.1260000000000003</v>
      </c>
      <c r="F26" s="19">
        <f t="shared" si="0"/>
        <v>0.65</v>
      </c>
    </row>
    <row r="27" spans="1:6" x14ac:dyDescent="0.3">
      <c r="A27" s="14">
        <v>26</v>
      </c>
      <c r="B27" s="15">
        <v>-1.0952</v>
      </c>
      <c r="C27" s="16" t="s">
        <v>22</v>
      </c>
      <c r="D27" s="17">
        <v>86.701599999999999</v>
      </c>
      <c r="E27" s="18">
        <v>-7.2211999999999996</v>
      </c>
      <c r="F27" s="19">
        <f t="shared" si="0"/>
        <v>0.6</v>
      </c>
    </row>
    <row r="28" spans="1:6" x14ac:dyDescent="0.3">
      <c r="A28" s="14">
        <v>27</v>
      </c>
      <c r="B28" s="20">
        <v>10.783899999999999</v>
      </c>
      <c r="C28" s="21" t="s">
        <v>23</v>
      </c>
      <c r="D28" s="17">
        <v>97.485500000000002</v>
      </c>
      <c r="E28" s="22">
        <v>0</v>
      </c>
      <c r="F28" s="19">
        <f t="shared" si="0"/>
        <v>0.65</v>
      </c>
    </row>
    <row r="29" spans="1:6" x14ac:dyDescent="0.3">
      <c r="A29" s="14">
        <v>28</v>
      </c>
      <c r="B29" s="15">
        <v>-29.578700000000001</v>
      </c>
      <c r="C29" s="16" t="s">
        <v>22</v>
      </c>
      <c r="D29" s="17">
        <v>67.906899999999993</v>
      </c>
      <c r="E29" s="18">
        <v>-29.578700000000001</v>
      </c>
      <c r="F29" s="19">
        <f t="shared" si="0"/>
        <v>0.65</v>
      </c>
    </row>
    <row r="30" spans="1:6" x14ac:dyDescent="0.3">
      <c r="A30" s="14">
        <v>29</v>
      </c>
      <c r="B30" s="20">
        <v>7.4302000000000001</v>
      </c>
      <c r="C30" s="21" t="s">
        <v>23</v>
      </c>
      <c r="D30" s="17">
        <v>75.337100000000007</v>
      </c>
      <c r="E30" s="18">
        <v>-22.148499999999999</v>
      </c>
      <c r="F30" s="19">
        <f t="shared" si="0"/>
        <v>0.7</v>
      </c>
    </row>
    <row r="31" spans="1:6" x14ac:dyDescent="0.3">
      <c r="A31" s="14">
        <v>30</v>
      </c>
      <c r="B31" s="20">
        <v>0</v>
      </c>
      <c r="C31" s="21" t="s">
        <v>23</v>
      </c>
      <c r="D31" s="17">
        <v>75.337100000000007</v>
      </c>
      <c r="E31" s="18">
        <v>-22.148499999999999</v>
      </c>
      <c r="F31" s="19">
        <f t="shared" si="0"/>
        <v>0.75</v>
      </c>
    </row>
    <row r="32" spans="1:6" x14ac:dyDescent="0.3">
      <c r="A32" s="14">
        <v>31</v>
      </c>
      <c r="B32" s="20">
        <v>14.842499999999999</v>
      </c>
      <c r="C32" s="21" t="s">
        <v>23</v>
      </c>
      <c r="D32" s="17">
        <v>90.179599999999994</v>
      </c>
      <c r="E32" s="18">
        <v>-7.3059000000000003</v>
      </c>
      <c r="F32" s="19">
        <f t="shared" si="0"/>
        <v>0.75</v>
      </c>
    </row>
    <row r="33" spans="1:6" x14ac:dyDescent="0.3">
      <c r="A33" s="14">
        <v>32</v>
      </c>
      <c r="B33" s="20">
        <v>14.869</v>
      </c>
      <c r="C33" s="21" t="s">
        <v>23</v>
      </c>
      <c r="D33" s="17">
        <v>105.04859999999999</v>
      </c>
      <c r="E33" s="22">
        <v>0</v>
      </c>
      <c r="F33" s="19">
        <f t="shared" si="0"/>
        <v>0.75</v>
      </c>
    </row>
    <row r="34" spans="1:6" x14ac:dyDescent="0.3">
      <c r="A34" s="14">
        <v>33</v>
      </c>
      <c r="B34" s="15">
        <v>-15.0786</v>
      </c>
      <c r="C34" s="16" t="s">
        <v>22</v>
      </c>
      <c r="D34" s="17">
        <v>89.97</v>
      </c>
      <c r="E34" s="18">
        <v>-15.0786</v>
      </c>
      <c r="F34" s="19">
        <f t="shared" si="0"/>
        <v>0.7</v>
      </c>
    </row>
    <row r="35" spans="1:6" x14ac:dyDescent="0.3">
      <c r="A35" s="14">
        <v>34</v>
      </c>
      <c r="B35" s="20">
        <v>18.686699999999998</v>
      </c>
      <c r="C35" s="21" t="s">
        <v>23</v>
      </c>
      <c r="D35" s="17">
        <v>108.6567</v>
      </c>
      <c r="E35" s="22">
        <v>0</v>
      </c>
      <c r="F35" s="19">
        <f t="shared" si="0"/>
        <v>0.7</v>
      </c>
    </row>
    <row r="36" spans="1:6" x14ac:dyDescent="0.3">
      <c r="A36" s="14">
        <v>35</v>
      </c>
      <c r="B36" s="20">
        <v>5.1234999999999999</v>
      </c>
      <c r="C36" s="21" t="s">
        <v>23</v>
      </c>
      <c r="D36" s="17">
        <v>113.78019999999999</v>
      </c>
      <c r="E36" s="22">
        <v>0</v>
      </c>
      <c r="F36" s="19">
        <f t="shared" si="0"/>
        <v>0.7</v>
      </c>
    </row>
    <row r="37" spans="1:6" x14ac:dyDescent="0.3">
      <c r="A37" s="14">
        <v>36</v>
      </c>
      <c r="B37" s="15">
        <v>-9.2878000000000007</v>
      </c>
      <c r="C37" s="16" t="s">
        <v>22</v>
      </c>
      <c r="D37" s="17">
        <v>104.4924</v>
      </c>
      <c r="E37" s="18">
        <v>-9.2878000000000007</v>
      </c>
      <c r="F37" s="19">
        <f t="shared" si="0"/>
        <v>0.65</v>
      </c>
    </row>
    <row r="38" spans="1:6" x14ac:dyDescent="0.3">
      <c r="A38" s="14">
        <v>37</v>
      </c>
      <c r="B38" s="20">
        <v>12.433299999999999</v>
      </c>
      <c r="C38" s="21" t="s">
        <v>23</v>
      </c>
      <c r="D38" s="17">
        <v>116.92570000000001</v>
      </c>
      <c r="E38" s="22">
        <v>0</v>
      </c>
      <c r="F38" s="19">
        <f t="shared" si="0"/>
        <v>0.65</v>
      </c>
    </row>
    <row r="39" spans="1:6" x14ac:dyDescent="0.3">
      <c r="A39" s="14">
        <v>38</v>
      </c>
      <c r="B39" s="20">
        <v>21.6828</v>
      </c>
      <c r="C39" s="21" t="s">
        <v>23</v>
      </c>
      <c r="D39" s="17">
        <v>138.60849999999999</v>
      </c>
      <c r="E39" s="22">
        <v>0</v>
      </c>
      <c r="F39" s="19">
        <f t="shared" si="0"/>
        <v>0.65</v>
      </c>
    </row>
    <row r="40" spans="1:6" x14ac:dyDescent="0.3">
      <c r="A40" s="14">
        <v>39</v>
      </c>
      <c r="B40" s="20">
        <v>11.7347</v>
      </c>
      <c r="C40" s="21" t="s">
        <v>23</v>
      </c>
      <c r="D40" s="17">
        <v>150.3433</v>
      </c>
      <c r="E40" s="22">
        <v>0</v>
      </c>
      <c r="F40" s="19">
        <f t="shared" si="0"/>
        <v>0.65</v>
      </c>
    </row>
    <row r="41" spans="1:6" x14ac:dyDescent="0.3">
      <c r="A41" s="14">
        <v>40</v>
      </c>
      <c r="B41" s="20">
        <v>0.34379999999999999</v>
      </c>
      <c r="C41" s="21" t="s">
        <v>23</v>
      </c>
      <c r="D41" s="17">
        <v>150.68700000000001</v>
      </c>
      <c r="E41" s="22">
        <v>0</v>
      </c>
      <c r="F41" s="19">
        <f t="shared" si="0"/>
        <v>0.65</v>
      </c>
    </row>
    <row r="42" spans="1:6" x14ac:dyDescent="0.3">
      <c r="A42" s="14">
        <v>41</v>
      </c>
      <c r="B42" s="15">
        <v>-3.7784</v>
      </c>
      <c r="C42" s="16" t="s">
        <v>22</v>
      </c>
      <c r="D42" s="17">
        <v>146.90860000000001</v>
      </c>
      <c r="E42" s="18">
        <v>-3.7784</v>
      </c>
      <c r="F42" s="19">
        <f t="shared" si="0"/>
        <v>0.65</v>
      </c>
    </row>
    <row r="43" spans="1:6" x14ac:dyDescent="0.3">
      <c r="A43" s="14">
        <v>42</v>
      </c>
      <c r="B43" s="15">
        <v>-11.754799999999999</v>
      </c>
      <c r="C43" s="16" t="s">
        <v>22</v>
      </c>
      <c r="D43" s="17">
        <v>135.15379999999999</v>
      </c>
      <c r="E43" s="18">
        <v>-15.533200000000001</v>
      </c>
      <c r="F43" s="19">
        <f t="shared" si="0"/>
        <v>0.65</v>
      </c>
    </row>
    <row r="44" spans="1:6" x14ac:dyDescent="0.3">
      <c r="A44" s="14">
        <v>43</v>
      </c>
      <c r="B44" s="20">
        <v>7.5152999999999999</v>
      </c>
      <c r="C44" s="21" t="s">
        <v>23</v>
      </c>
      <c r="D44" s="17">
        <v>142.66909999999999</v>
      </c>
      <c r="E44" s="18">
        <v>-8.0180000000000007</v>
      </c>
      <c r="F44" s="19">
        <f t="shared" si="0"/>
        <v>0.7</v>
      </c>
    </row>
    <row r="45" spans="1:6" x14ac:dyDescent="0.3">
      <c r="A45" s="14">
        <v>44</v>
      </c>
      <c r="B45" s="20">
        <v>12.168900000000001</v>
      </c>
      <c r="C45" s="21" t="s">
        <v>23</v>
      </c>
      <c r="D45" s="17">
        <v>154.83799999999999</v>
      </c>
      <c r="E45" s="22">
        <v>0</v>
      </c>
      <c r="F45" s="19">
        <f t="shared" si="0"/>
        <v>0.7</v>
      </c>
    </row>
    <row r="46" spans="1:6" x14ac:dyDescent="0.3">
      <c r="A46" s="14">
        <v>45</v>
      </c>
      <c r="B46" s="15">
        <v>-6.7237999999999998</v>
      </c>
      <c r="C46" s="16" t="s">
        <v>22</v>
      </c>
      <c r="D46" s="17">
        <v>148.11420000000001</v>
      </c>
      <c r="E46" s="18">
        <v>-6.7237999999999998</v>
      </c>
      <c r="F46" s="19">
        <f t="shared" si="0"/>
        <v>0.65</v>
      </c>
    </row>
    <row r="47" spans="1:6" x14ac:dyDescent="0.3">
      <c r="A47" s="14">
        <v>46</v>
      </c>
      <c r="B47" s="15">
        <v>-4.3343999999999996</v>
      </c>
      <c r="C47" s="16" t="s">
        <v>22</v>
      </c>
      <c r="D47" s="17">
        <v>143.77979999999999</v>
      </c>
      <c r="E47" s="18">
        <v>-11.058199999999999</v>
      </c>
      <c r="F47" s="19">
        <f t="shared" si="0"/>
        <v>0.65</v>
      </c>
    </row>
    <row r="48" spans="1:6" x14ac:dyDescent="0.3">
      <c r="A48" s="14">
        <v>47</v>
      </c>
      <c r="B48" s="15">
        <v>-10.8125</v>
      </c>
      <c r="C48" s="16" t="s">
        <v>22</v>
      </c>
      <c r="D48" s="17">
        <v>132.96729999999999</v>
      </c>
      <c r="E48" s="18">
        <v>-21.870699999999999</v>
      </c>
      <c r="F48" s="19">
        <f t="shared" si="0"/>
        <v>0.6</v>
      </c>
    </row>
    <row r="49" spans="1:6" x14ac:dyDescent="0.3">
      <c r="A49" s="14">
        <v>48</v>
      </c>
      <c r="B49" s="20">
        <v>12.6737</v>
      </c>
      <c r="C49" s="21" t="s">
        <v>23</v>
      </c>
      <c r="D49" s="17">
        <v>145.64099999999999</v>
      </c>
      <c r="E49" s="18">
        <v>-9.1969999999999992</v>
      </c>
      <c r="F49" s="19">
        <f t="shared" si="0"/>
        <v>0.65</v>
      </c>
    </row>
    <row r="50" spans="1:6" x14ac:dyDescent="0.3">
      <c r="A50" s="14">
        <v>49</v>
      </c>
      <c r="B50" s="20">
        <v>1.6251</v>
      </c>
      <c r="C50" s="21" t="s">
        <v>23</v>
      </c>
      <c r="D50" s="17">
        <v>147.26609999999999</v>
      </c>
      <c r="E50" s="18">
        <v>-7.5719000000000003</v>
      </c>
      <c r="F50" s="19">
        <f t="shared" si="0"/>
        <v>0.65</v>
      </c>
    </row>
    <row r="51" spans="1:6" x14ac:dyDescent="0.3">
      <c r="A51" s="14">
        <v>50</v>
      </c>
      <c r="B51" s="15">
        <v>-20.0198</v>
      </c>
      <c r="C51" s="16" t="s">
        <v>22</v>
      </c>
      <c r="D51" s="17">
        <v>127.24630000000001</v>
      </c>
      <c r="E51" s="18">
        <v>-27.591699999999999</v>
      </c>
      <c r="F51" s="19">
        <f t="shared" si="0"/>
        <v>0.6</v>
      </c>
    </row>
    <row r="52" spans="1:6" x14ac:dyDescent="0.3">
      <c r="A52" s="14">
        <v>51</v>
      </c>
      <c r="B52" s="20">
        <v>3.2907999999999999</v>
      </c>
      <c r="C52" s="21" t="s">
        <v>23</v>
      </c>
      <c r="D52" s="17">
        <v>130.53710000000001</v>
      </c>
      <c r="E52" s="18">
        <v>-24.300899999999999</v>
      </c>
      <c r="F52" s="19">
        <f t="shared" si="0"/>
        <v>0.6</v>
      </c>
    </row>
    <row r="53" spans="1:6" x14ac:dyDescent="0.3">
      <c r="A53" s="14">
        <v>52</v>
      </c>
      <c r="B53" s="20">
        <v>15.7468</v>
      </c>
      <c r="C53" s="21" t="s">
        <v>23</v>
      </c>
      <c r="D53" s="17">
        <v>146.28389999999999</v>
      </c>
      <c r="E53" s="18">
        <v>-8.5541</v>
      </c>
      <c r="F53" s="19">
        <f t="shared" si="0"/>
        <v>0.6</v>
      </c>
    </row>
    <row r="54" spans="1:6" x14ac:dyDescent="0.3">
      <c r="A54" s="14">
        <v>53</v>
      </c>
      <c r="B54" s="15">
        <v>-22.257999999999999</v>
      </c>
      <c r="C54" s="16" t="s">
        <v>22</v>
      </c>
      <c r="D54" s="17">
        <v>124.02589999999999</v>
      </c>
      <c r="E54" s="18">
        <v>-30.812100000000001</v>
      </c>
      <c r="F54" s="19">
        <f t="shared" si="0"/>
        <v>0.6</v>
      </c>
    </row>
    <row r="55" spans="1:6" x14ac:dyDescent="0.3">
      <c r="A55" s="14">
        <v>54</v>
      </c>
      <c r="B55" s="20">
        <v>14.081099999999999</v>
      </c>
      <c r="C55" s="21" t="s">
        <v>23</v>
      </c>
      <c r="D55" s="17">
        <v>138.107</v>
      </c>
      <c r="E55" s="18">
        <v>-16.731000000000002</v>
      </c>
      <c r="F55" s="19">
        <f t="shared" si="0"/>
        <v>0.6</v>
      </c>
    </row>
    <row r="56" spans="1:6" x14ac:dyDescent="0.3">
      <c r="A56" s="14">
        <v>55</v>
      </c>
      <c r="B56" s="20">
        <v>8.7460000000000004</v>
      </c>
      <c r="C56" s="21" t="s">
        <v>23</v>
      </c>
      <c r="D56" s="17">
        <v>146.85310000000001</v>
      </c>
      <c r="E56" s="18">
        <v>-7.9848999999999997</v>
      </c>
      <c r="F56" s="19">
        <f t="shared" si="0"/>
        <v>0.6</v>
      </c>
    </row>
    <row r="57" spans="1:6" x14ac:dyDescent="0.3">
      <c r="A57" s="14">
        <v>56</v>
      </c>
      <c r="B57" s="20">
        <v>8.6015999999999995</v>
      </c>
      <c r="C57" s="21" t="s">
        <v>23</v>
      </c>
      <c r="D57" s="17">
        <v>155.4547</v>
      </c>
      <c r="E57" s="22">
        <v>0</v>
      </c>
      <c r="F57" s="19">
        <f t="shared" si="0"/>
        <v>0.65</v>
      </c>
    </row>
    <row r="58" spans="1:6" x14ac:dyDescent="0.3">
      <c r="A58" s="14">
        <v>57</v>
      </c>
      <c r="B58" s="20">
        <v>0.99370000000000003</v>
      </c>
      <c r="C58" s="21" t="s">
        <v>23</v>
      </c>
      <c r="D58" s="17">
        <v>156.44839999999999</v>
      </c>
      <c r="E58" s="22">
        <v>0</v>
      </c>
      <c r="F58" s="19">
        <f t="shared" si="0"/>
        <v>0.65</v>
      </c>
    </row>
    <row r="59" spans="1:6" x14ac:dyDescent="0.3">
      <c r="A59" s="14">
        <v>58</v>
      </c>
      <c r="B59" s="20">
        <v>6.0292000000000003</v>
      </c>
      <c r="C59" s="21" t="s">
        <v>23</v>
      </c>
      <c r="D59" s="17">
        <v>162.47749999999999</v>
      </c>
      <c r="E59" s="22">
        <v>0</v>
      </c>
      <c r="F59" s="19">
        <f t="shared" si="0"/>
        <v>0.65</v>
      </c>
    </row>
    <row r="60" spans="1:6" x14ac:dyDescent="0.3">
      <c r="A60" s="14">
        <v>59</v>
      </c>
      <c r="B60" s="15">
        <v>-7.7087000000000003</v>
      </c>
      <c r="C60" s="16" t="s">
        <v>22</v>
      </c>
      <c r="D60" s="17">
        <v>154.7688</v>
      </c>
      <c r="E60" s="18">
        <v>-7.7087000000000003</v>
      </c>
      <c r="F60" s="19">
        <f t="shared" si="0"/>
        <v>0.6</v>
      </c>
    </row>
    <row r="61" spans="1:6" x14ac:dyDescent="0.3">
      <c r="A61" s="14">
        <v>60</v>
      </c>
      <c r="B61" s="20">
        <v>0</v>
      </c>
      <c r="C61" s="21" t="s">
        <v>23</v>
      </c>
      <c r="D61" s="17">
        <v>154.7688</v>
      </c>
      <c r="E61" s="18">
        <v>-7.7087000000000003</v>
      </c>
      <c r="F61" s="19">
        <f t="shared" si="0"/>
        <v>0.6</v>
      </c>
    </row>
    <row r="62" spans="1:6" x14ac:dyDescent="0.3">
      <c r="A62" s="14">
        <v>61</v>
      </c>
      <c r="B62" s="20">
        <v>10.701700000000001</v>
      </c>
      <c r="C62" s="21" t="s">
        <v>23</v>
      </c>
      <c r="D62" s="17">
        <v>165.47049999999999</v>
      </c>
      <c r="E62" s="22">
        <v>0</v>
      </c>
      <c r="F62" s="19">
        <f t="shared" si="0"/>
        <v>0.65</v>
      </c>
    </row>
    <row r="63" spans="1:6" x14ac:dyDescent="0.3">
      <c r="A63" s="14">
        <v>62</v>
      </c>
      <c r="B63" s="20">
        <v>7.4103000000000003</v>
      </c>
      <c r="C63" s="21" t="s">
        <v>23</v>
      </c>
      <c r="D63" s="17">
        <v>172.88079999999999</v>
      </c>
      <c r="E63" s="22">
        <v>0</v>
      </c>
      <c r="F63" s="19">
        <f t="shared" si="0"/>
        <v>0.7</v>
      </c>
    </row>
    <row r="64" spans="1:6" x14ac:dyDescent="0.3">
      <c r="A64" s="14">
        <v>63</v>
      </c>
      <c r="B64" s="15">
        <v>-11.0037</v>
      </c>
      <c r="C64" s="16" t="s">
        <v>22</v>
      </c>
      <c r="D64" s="17">
        <v>161.87719999999999</v>
      </c>
      <c r="E64" s="18">
        <v>-11.0037</v>
      </c>
      <c r="F64" s="19">
        <f t="shared" si="0"/>
        <v>0.65</v>
      </c>
    </row>
    <row r="65" spans="1:6" x14ac:dyDescent="0.3">
      <c r="A65" s="14">
        <v>64</v>
      </c>
      <c r="B65" s="20">
        <v>15.535600000000001</v>
      </c>
      <c r="C65" s="21" t="s">
        <v>23</v>
      </c>
      <c r="D65" s="17">
        <v>177.4127</v>
      </c>
      <c r="E65" s="22">
        <v>0</v>
      </c>
      <c r="F65" s="19">
        <f t="shared" si="0"/>
        <v>0.65</v>
      </c>
    </row>
    <row r="66" spans="1:6" x14ac:dyDescent="0.3">
      <c r="A66" s="14">
        <v>65</v>
      </c>
      <c r="B66" s="20">
        <v>23.469899999999999</v>
      </c>
      <c r="C66" s="21" t="s">
        <v>23</v>
      </c>
      <c r="D66" s="17">
        <v>200.8826</v>
      </c>
      <c r="E66" s="22">
        <v>0</v>
      </c>
      <c r="F66" s="19">
        <f t="shared" si="0"/>
        <v>0.7</v>
      </c>
    </row>
    <row r="67" spans="1:6" x14ac:dyDescent="0.3">
      <c r="A67" s="14">
        <v>66</v>
      </c>
      <c r="B67" s="20">
        <v>8.9046000000000003</v>
      </c>
      <c r="C67" s="21" t="s">
        <v>23</v>
      </c>
      <c r="D67" s="17">
        <v>209.78720000000001</v>
      </c>
      <c r="E67" s="22">
        <v>0</v>
      </c>
      <c r="F67" s="19">
        <f t="shared" si="0"/>
        <v>0.75</v>
      </c>
    </row>
    <row r="68" spans="1:6" x14ac:dyDescent="0.3">
      <c r="A68" s="14">
        <v>67</v>
      </c>
      <c r="B68" s="20">
        <v>0</v>
      </c>
      <c r="C68" s="21" t="s">
        <v>23</v>
      </c>
      <c r="D68" s="17">
        <v>209.78720000000001</v>
      </c>
      <c r="E68" s="22">
        <v>0</v>
      </c>
      <c r="F68" s="19">
        <f t="shared" si="0"/>
        <v>0.8</v>
      </c>
    </row>
    <row r="69" spans="1:6" x14ac:dyDescent="0.3">
      <c r="A69" s="14">
        <v>68</v>
      </c>
      <c r="B69" s="15">
        <v>-5.4661999999999997</v>
      </c>
      <c r="C69" s="16" t="s">
        <v>22</v>
      </c>
      <c r="D69" s="17">
        <v>204.3211</v>
      </c>
      <c r="E69" s="18">
        <v>-5.4661999999999997</v>
      </c>
      <c r="F69" s="19">
        <f t="shared" si="0"/>
        <v>0.75</v>
      </c>
    </row>
    <row r="70" spans="1:6" x14ac:dyDescent="0.3">
      <c r="A70" s="14">
        <v>69</v>
      </c>
      <c r="B70" s="20">
        <v>8.4802</v>
      </c>
      <c r="C70" s="21" t="s">
        <v>23</v>
      </c>
      <c r="D70" s="17">
        <v>212.8013</v>
      </c>
      <c r="E70" s="22">
        <v>0</v>
      </c>
      <c r="F70" s="19">
        <f t="shared" si="0"/>
        <v>0.75</v>
      </c>
    </row>
    <row r="71" spans="1:6" x14ac:dyDescent="0.3">
      <c r="A71" s="14">
        <v>70</v>
      </c>
      <c r="B71" s="20">
        <v>1.7813000000000001</v>
      </c>
      <c r="C71" s="21" t="s">
        <v>23</v>
      </c>
      <c r="D71" s="17">
        <v>214.58260000000001</v>
      </c>
      <c r="E71" s="22">
        <v>0</v>
      </c>
      <c r="F71" s="19">
        <f t="shared" si="0"/>
        <v>0.8</v>
      </c>
    </row>
    <row r="72" spans="1:6" x14ac:dyDescent="0.3">
      <c r="A72" s="14">
        <v>71</v>
      </c>
      <c r="B72" s="15">
        <v>-8.5884</v>
      </c>
      <c r="C72" s="16" t="s">
        <v>22</v>
      </c>
      <c r="D72" s="17">
        <v>205.9941</v>
      </c>
      <c r="E72" s="18">
        <v>-8.5884</v>
      </c>
      <c r="F72" s="19">
        <f t="shared" si="0"/>
        <v>0.75</v>
      </c>
    </row>
    <row r="73" spans="1:6" x14ac:dyDescent="0.3">
      <c r="A73" s="14">
        <v>72</v>
      </c>
      <c r="B73" s="20">
        <v>30.1175</v>
      </c>
      <c r="C73" s="21" t="s">
        <v>23</v>
      </c>
      <c r="D73" s="17">
        <v>236.11160000000001</v>
      </c>
      <c r="E73" s="22">
        <v>0</v>
      </c>
      <c r="F73" s="19">
        <f t="shared" si="0"/>
        <v>0.75</v>
      </c>
    </row>
    <row r="74" spans="1:6" x14ac:dyDescent="0.3">
      <c r="A74" s="14">
        <v>73</v>
      </c>
      <c r="B74" s="20">
        <v>9.5546000000000006</v>
      </c>
      <c r="C74" s="21" t="s">
        <v>23</v>
      </c>
      <c r="D74" s="17">
        <v>245.6662</v>
      </c>
      <c r="E74" s="22">
        <v>0</v>
      </c>
      <c r="F74" s="19">
        <f t="shared" si="0"/>
        <v>0.8</v>
      </c>
    </row>
    <row r="75" spans="1:6" x14ac:dyDescent="0.3">
      <c r="A75" s="14">
        <v>74</v>
      </c>
      <c r="B75" s="20">
        <v>8.1376000000000008</v>
      </c>
      <c r="C75" s="21" t="s">
        <v>23</v>
      </c>
      <c r="D75" s="17">
        <v>253.8038</v>
      </c>
      <c r="E75" s="22">
        <v>0</v>
      </c>
      <c r="F75" s="19">
        <f t="shared" si="0"/>
        <v>0.8</v>
      </c>
    </row>
    <row r="76" spans="1:6" x14ac:dyDescent="0.3">
      <c r="A76" s="14">
        <v>75</v>
      </c>
      <c r="B76" s="20">
        <v>7.8517999999999999</v>
      </c>
      <c r="C76" s="21" t="s">
        <v>23</v>
      </c>
      <c r="D76" s="17">
        <v>261.65559999999999</v>
      </c>
      <c r="E76" s="22">
        <v>0</v>
      </c>
      <c r="F76" s="19">
        <f t="shared" si="0"/>
        <v>0.8</v>
      </c>
    </row>
    <row r="77" spans="1:6" x14ac:dyDescent="0.3">
      <c r="A77" s="14">
        <v>76</v>
      </c>
      <c r="B77" s="20">
        <v>15.4749</v>
      </c>
      <c r="C77" s="21" t="s">
        <v>23</v>
      </c>
      <c r="D77" s="17">
        <v>277.13049999999998</v>
      </c>
      <c r="E77" s="22">
        <v>0</v>
      </c>
      <c r="F77" s="19">
        <f t="shared" si="0"/>
        <v>0.8</v>
      </c>
    </row>
    <row r="78" spans="1:6" x14ac:dyDescent="0.3">
      <c r="A78" s="14">
        <v>77</v>
      </c>
      <c r="B78" s="15">
        <v>-7.3693</v>
      </c>
      <c r="C78" s="16" t="s">
        <v>22</v>
      </c>
      <c r="D78" s="17">
        <v>269.76119999999997</v>
      </c>
      <c r="E78" s="18">
        <v>-7.3693</v>
      </c>
      <c r="F78" s="19">
        <f t="shared" si="0"/>
        <v>0.75</v>
      </c>
    </row>
    <row r="79" spans="1:6" x14ac:dyDescent="0.3">
      <c r="A79" s="14">
        <v>78</v>
      </c>
      <c r="B79" s="15">
        <v>-1.4419999999999999</v>
      </c>
      <c r="C79" s="16" t="s">
        <v>22</v>
      </c>
      <c r="D79" s="17">
        <v>268.31920000000002</v>
      </c>
      <c r="E79" s="18">
        <v>-8.8112999999999992</v>
      </c>
      <c r="F79" s="19">
        <f t="shared" si="0"/>
        <v>0.7</v>
      </c>
    </row>
    <row r="80" spans="1:6" x14ac:dyDescent="0.3">
      <c r="A80" s="14">
        <v>79</v>
      </c>
      <c r="B80" s="15">
        <v>-9.0082000000000004</v>
      </c>
      <c r="C80" s="16" t="s">
        <v>22</v>
      </c>
      <c r="D80" s="17">
        <v>259.31110000000001</v>
      </c>
      <c r="E80" s="18">
        <v>-17.819400000000002</v>
      </c>
      <c r="F80" s="19">
        <f t="shared" si="0"/>
        <v>0.7</v>
      </c>
    </row>
    <row r="81" spans="1:6" x14ac:dyDescent="0.3">
      <c r="A81" s="14">
        <v>80</v>
      </c>
      <c r="B81" s="20">
        <v>5.1673</v>
      </c>
      <c r="C81" s="21" t="s">
        <v>23</v>
      </c>
      <c r="D81" s="17">
        <v>264.47840000000002</v>
      </c>
      <c r="E81" s="18">
        <v>-12.652100000000001</v>
      </c>
      <c r="F81" s="19">
        <f t="shared" si="0"/>
        <v>0.7</v>
      </c>
    </row>
    <row r="82" spans="1:6" x14ac:dyDescent="0.3">
      <c r="A82" s="14">
        <v>81</v>
      </c>
      <c r="B82" s="20">
        <v>19.464500000000001</v>
      </c>
      <c r="C82" s="21" t="s">
        <v>23</v>
      </c>
      <c r="D82" s="17">
        <v>283.94290000000001</v>
      </c>
      <c r="E82" s="22">
        <v>0</v>
      </c>
      <c r="F82" s="19">
        <f t="shared" si="0"/>
        <v>0.7</v>
      </c>
    </row>
    <row r="83" spans="1:6" x14ac:dyDescent="0.3">
      <c r="A83" s="14">
        <v>82</v>
      </c>
      <c r="B83" s="20">
        <v>0</v>
      </c>
      <c r="C83" s="21" t="s">
        <v>23</v>
      </c>
      <c r="D83" s="17">
        <v>283.94290000000001</v>
      </c>
      <c r="E83" s="22">
        <v>0</v>
      </c>
      <c r="F83" s="19">
        <f t="shared" si="0"/>
        <v>0.7</v>
      </c>
    </row>
    <row r="84" spans="1:6" x14ac:dyDescent="0.3">
      <c r="A84" s="14">
        <v>83</v>
      </c>
      <c r="B84" s="20">
        <v>8.1934000000000005</v>
      </c>
      <c r="C84" s="21" t="s">
        <v>23</v>
      </c>
      <c r="D84" s="17">
        <v>292.13630000000001</v>
      </c>
      <c r="E84" s="22">
        <v>0</v>
      </c>
      <c r="F84" s="19">
        <f t="shared" si="0"/>
        <v>0.75</v>
      </c>
    </row>
    <row r="85" spans="1:6" x14ac:dyDescent="0.3">
      <c r="A85" s="14">
        <v>84</v>
      </c>
      <c r="B85" s="15">
        <v>-3.4914999999999998</v>
      </c>
      <c r="C85" s="16" t="s">
        <v>22</v>
      </c>
      <c r="D85" s="17">
        <v>288.64479999999998</v>
      </c>
      <c r="E85" s="18">
        <v>-3.4914999999999998</v>
      </c>
      <c r="F85" s="19">
        <f t="shared" si="0"/>
        <v>0.7</v>
      </c>
    </row>
    <row r="86" spans="1:6" x14ac:dyDescent="0.3">
      <c r="A86" s="14">
        <v>85</v>
      </c>
      <c r="B86" s="20">
        <v>16.196899999999999</v>
      </c>
      <c r="C86" s="21" t="s">
        <v>23</v>
      </c>
      <c r="D86" s="17">
        <v>304.8417</v>
      </c>
      <c r="E86" s="22">
        <v>0</v>
      </c>
      <c r="F86" s="19">
        <f t="shared" ref="F86:F149" si="1">COUNTIF(C67:C86,"WIN")/20</f>
        <v>0.7</v>
      </c>
    </row>
    <row r="87" spans="1:6" x14ac:dyDescent="0.3">
      <c r="A87" s="14">
        <v>86</v>
      </c>
      <c r="B87" s="15">
        <v>-2.4016000000000002</v>
      </c>
      <c r="C87" s="16" t="s">
        <v>22</v>
      </c>
      <c r="D87" s="17">
        <v>302.44009999999997</v>
      </c>
      <c r="E87" s="18">
        <v>-2.4016000000000002</v>
      </c>
      <c r="F87" s="19">
        <f t="shared" si="1"/>
        <v>0.65</v>
      </c>
    </row>
    <row r="88" spans="1:6" x14ac:dyDescent="0.3">
      <c r="A88" s="14">
        <v>87</v>
      </c>
      <c r="B88" s="20">
        <v>14.876099999999999</v>
      </c>
      <c r="C88" s="21" t="s">
        <v>23</v>
      </c>
      <c r="D88" s="17">
        <v>317.31619999999998</v>
      </c>
      <c r="E88" s="22">
        <v>0</v>
      </c>
      <c r="F88" s="19">
        <f t="shared" si="1"/>
        <v>0.65</v>
      </c>
    </row>
    <row r="89" spans="1:6" x14ac:dyDescent="0.3">
      <c r="A89" s="14">
        <v>88</v>
      </c>
      <c r="B89" s="15">
        <v>-3.3388</v>
      </c>
      <c r="C89" s="16" t="s">
        <v>22</v>
      </c>
      <c r="D89" s="17">
        <v>313.97739999999999</v>
      </c>
      <c r="E89" s="18">
        <v>-3.3388</v>
      </c>
      <c r="F89" s="19">
        <f t="shared" si="1"/>
        <v>0.65</v>
      </c>
    </row>
    <row r="90" spans="1:6" x14ac:dyDescent="0.3">
      <c r="A90" s="14">
        <v>89</v>
      </c>
      <c r="B90" s="15">
        <v>-0.7258</v>
      </c>
      <c r="C90" s="16" t="s">
        <v>22</v>
      </c>
      <c r="D90" s="17">
        <v>313.2516</v>
      </c>
      <c r="E90" s="18">
        <v>-4.0646000000000004</v>
      </c>
      <c r="F90" s="19">
        <f t="shared" si="1"/>
        <v>0.6</v>
      </c>
    </row>
    <row r="91" spans="1:6" x14ac:dyDescent="0.3">
      <c r="A91" s="14">
        <v>90</v>
      </c>
      <c r="B91" s="20">
        <v>7.0252999999999997</v>
      </c>
      <c r="C91" s="21" t="s">
        <v>23</v>
      </c>
      <c r="D91" s="17">
        <v>320.27690000000001</v>
      </c>
      <c r="E91" s="22">
        <v>0</v>
      </c>
      <c r="F91" s="19">
        <f t="shared" si="1"/>
        <v>0.6</v>
      </c>
    </row>
    <row r="92" spans="1:6" x14ac:dyDescent="0.3">
      <c r="A92" s="14">
        <v>91</v>
      </c>
      <c r="B92" s="20">
        <v>18.578900000000001</v>
      </c>
      <c r="C92" s="21" t="s">
        <v>23</v>
      </c>
      <c r="D92" s="17">
        <v>338.85579999999999</v>
      </c>
      <c r="E92" s="22">
        <v>0</v>
      </c>
      <c r="F92" s="19">
        <f t="shared" si="1"/>
        <v>0.65</v>
      </c>
    </row>
    <row r="93" spans="1:6" x14ac:dyDescent="0.3">
      <c r="A93" s="14">
        <v>92</v>
      </c>
      <c r="B93" s="20">
        <v>19.3355</v>
      </c>
      <c r="C93" s="21" t="s">
        <v>23</v>
      </c>
      <c r="D93" s="17">
        <v>358.19139999999999</v>
      </c>
      <c r="E93" s="22">
        <v>0</v>
      </c>
      <c r="F93" s="19">
        <f t="shared" si="1"/>
        <v>0.65</v>
      </c>
    </row>
    <row r="94" spans="1:6" x14ac:dyDescent="0.3">
      <c r="A94" s="14">
        <v>93</v>
      </c>
      <c r="B94" s="20">
        <v>9.2142999999999997</v>
      </c>
      <c r="C94" s="21" t="s">
        <v>23</v>
      </c>
      <c r="D94" s="17">
        <v>367.40570000000002</v>
      </c>
      <c r="E94" s="22">
        <v>0</v>
      </c>
      <c r="F94" s="19">
        <f t="shared" si="1"/>
        <v>0.65</v>
      </c>
    </row>
    <row r="95" spans="1:6" x14ac:dyDescent="0.3">
      <c r="A95" s="14">
        <v>94</v>
      </c>
      <c r="B95" s="20">
        <v>8.6791999999999998</v>
      </c>
      <c r="C95" s="21" t="s">
        <v>23</v>
      </c>
      <c r="D95" s="17">
        <v>376.0849</v>
      </c>
      <c r="E95" s="22">
        <v>0</v>
      </c>
      <c r="F95" s="19">
        <f t="shared" si="1"/>
        <v>0.65</v>
      </c>
    </row>
    <row r="96" spans="1:6" x14ac:dyDescent="0.3">
      <c r="A96" s="14">
        <v>95</v>
      </c>
      <c r="B96" s="15">
        <v>-1.3900999999999999</v>
      </c>
      <c r="C96" s="16" t="s">
        <v>22</v>
      </c>
      <c r="D96" s="17">
        <v>374.69490000000002</v>
      </c>
      <c r="E96" s="18">
        <v>-1.3900999999999999</v>
      </c>
      <c r="F96" s="19">
        <f t="shared" si="1"/>
        <v>0.6</v>
      </c>
    </row>
    <row r="97" spans="1:6" x14ac:dyDescent="0.3">
      <c r="A97" s="14">
        <v>96</v>
      </c>
      <c r="B97" s="20">
        <v>1.4694</v>
      </c>
      <c r="C97" s="21" t="s">
        <v>23</v>
      </c>
      <c r="D97" s="17">
        <v>376.16419999999999</v>
      </c>
      <c r="E97" s="22">
        <v>0</v>
      </c>
      <c r="F97" s="19">
        <f t="shared" si="1"/>
        <v>0.6</v>
      </c>
    </row>
    <row r="98" spans="1:6" x14ac:dyDescent="0.3">
      <c r="A98" s="14">
        <v>97</v>
      </c>
      <c r="B98" s="20">
        <v>6.9665999999999997</v>
      </c>
      <c r="C98" s="21" t="s">
        <v>23</v>
      </c>
      <c r="D98" s="17">
        <v>383.13080000000002</v>
      </c>
      <c r="E98" s="22">
        <v>0</v>
      </c>
      <c r="F98" s="19">
        <f t="shared" si="1"/>
        <v>0.65</v>
      </c>
    </row>
    <row r="99" spans="1:6" x14ac:dyDescent="0.3">
      <c r="A99" s="14">
        <v>98</v>
      </c>
      <c r="B99" s="20">
        <v>3.9163999999999999</v>
      </c>
      <c r="C99" s="21" t="s">
        <v>23</v>
      </c>
      <c r="D99" s="17">
        <v>387.04719999999998</v>
      </c>
      <c r="E99" s="22">
        <v>0</v>
      </c>
      <c r="F99" s="19">
        <f t="shared" si="1"/>
        <v>0.7</v>
      </c>
    </row>
    <row r="100" spans="1:6" x14ac:dyDescent="0.3">
      <c r="A100" s="14">
        <v>99</v>
      </c>
      <c r="B100" s="20">
        <v>4.8996000000000004</v>
      </c>
      <c r="C100" s="21" t="s">
        <v>23</v>
      </c>
      <c r="D100" s="17">
        <v>391.9468</v>
      </c>
      <c r="E100" s="22">
        <v>0</v>
      </c>
      <c r="F100" s="19">
        <f t="shared" si="1"/>
        <v>0.75</v>
      </c>
    </row>
    <row r="101" spans="1:6" x14ac:dyDescent="0.3">
      <c r="A101" s="14">
        <v>100</v>
      </c>
      <c r="B101" s="15">
        <v>-11.315200000000001</v>
      </c>
      <c r="C101" s="16" t="s">
        <v>22</v>
      </c>
      <c r="D101" s="17">
        <v>380.63159999999999</v>
      </c>
      <c r="E101" s="18">
        <v>-11.315200000000001</v>
      </c>
      <c r="F101" s="19">
        <f t="shared" si="1"/>
        <v>0.7</v>
      </c>
    </row>
    <row r="102" spans="1:6" x14ac:dyDescent="0.3">
      <c r="A102" s="14">
        <v>101</v>
      </c>
      <c r="B102" s="20">
        <v>8.6103000000000005</v>
      </c>
      <c r="C102" s="21" t="s">
        <v>23</v>
      </c>
      <c r="D102" s="17">
        <v>389.24189999999999</v>
      </c>
      <c r="E102" s="18">
        <v>-2.7048000000000001</v>
      </c>
      <c r="F102" s="19">
        <f t="shared" si="1"/>
        <v>0.7</v>
      </c>
    </row>
    <row r="103" spans="1:6" x14ac:dyDescent="0.3">
      <c r="A103" s="14">
        <v>102</v>
      </c>
      <c r="B103" s="20">
        <v>7.7725999999999997</v>
      </c>
      <c r="C103" s="21" t="s">
        <v>23</v>
      </c>
      <c r="D103" s="17">
        <v>397.01459999999997</v>
      </c>
      <c r="E103" s="22">
        <v>0</v>
      </c>
      <c r="F103" s="19">
        <f t="shared" si="1"/>
        <v>0.7</v>
      </c>
    </row>
    <row r="104" spans="1:6" x14ac:dyDescent="0.3">
      <c r="A104" s="14">
        <v>103</v>
      </c>
      <c r="B104" s="15">
        <v>-2.9415</v>
      </c>
      <c r="C104" s="16" t="s">
        <v>22</v>
      </c>
      <c r="D104" s="17">
        <v>394.07310000000001</v>
      </c>
      <c r="E104" s="18">
        <v>-2.9415</v>
      </c>
      <c r="F104" s="19">
        <f t="shared" si="1"/>
        <v>0.65</v>
      </c>
    </row>
    <row r="105" spans="1:6" x14ac:dyDescent="0.3">
      <c r="A105" s="14">
        <v>104</v>
      </c>
      <c r="B105" s="15">
        <v>-6.8254000000000001</v>
      </c>
      <c r="C105" s="16" t="s">
        <v>22</v>
      </c>
      <c r="D105" s="17">
        <v>387.24759999999998</v>
      </c>
      <c r="E105" s="18">
        <v>-9.7668999999999997</v>
      </c>
      <c r="F105" s="19">
        <f t="shared" si="1"/>
        <v>0.65</v>
      </c>
    </row>
    <row r="106" spans="1:6" x14ac:dyDescent="0.3">
      <c r="A106" s="14">
        <v>105</v>
      </c>
      <c r="B106" s="15">
        <v>-5.7607999999999997</v>
      </c>
      <c r="C106" s="16" t="s">
        <v>22</v>
      </c>
      <c r="D106" s="17">
        <v>381.48689999999999</v>
      </c>
      <c r="E106" s="18">
        <v>-15.527699999999999</v>
      </c>
      <c r="F106" s="19">
        <f t="shared" si="1"/>
        <v>0.6</v>
      </c>
    </row>
    <row r="107" spans="1:6" x14ac:dyDescent="0.3">
      <c r="A107" s="14">
        <v>106</v>
      </c>
      <c r="B107" s="20">
        <v>6.1614000000000004</v>
      </c>
      <c r="C107" s="21" t="s">
        <v>23</v>
      </c>
      <c r="D107" s="17">
        <v>387.64819999999997</v>
      </c>
      <c r="E107" s="18">
        <v>-9.3663000000000007</v>
      </c>
      <c r="F107" s="19">
        <f t="shared" si="1"/>
        <v>0.65</v>
      </c>
    </row>
    <row r="108" spans="1:6" x14ac:dyDescent="0.3">
      <c r="A108" s="14">
        <v>107</v>
      </c>
      <c r="B108" s="20">
        <v>18.398199999999999</v>
      </c>
      <c r="C108" s="21" t="s">
        <v>23</v>
      </c>
      <c r="D108" s="17">
        <v>406.04640000000001</v>
      </c>
      <c r="E108" s="22">
        <v>0</v>
      </c>
      <c r="F108" s="19">
        <f t="shared" si="1"/>
        <v>0.65</v>
      </c>
    </row>
    <row r="109" spans="1:6" x14ac:dyDescent="0.3">
      <c r="A109" s="14">
        <v>108</v>
      </c>
      <c r="B109" s="20">
        <v>19.422499999999999</v>
      </c>
      <c r="C109" s="21" t="s">
        <v>23</v>
      </c>
      <c r="D109" s="17">
        <v>425.46890000000002</v>
      </c>
      <c r="E109" s="22">
        <v>0</v>
      </c>
      <c r="F109" s="19">
        <f t="shared" si="1"/>
        <v>0.7</v>
      </c>
    </row>
    <row r="110" spans="1:6" x14ac:dyDescent="0.3">
      <c r="A110" s="14">
        <v>109</v>
      </c>
      <c r="B110" s="15">
        <v>-5.0505000000000004</v>
      </c>
      <c r="C110" s="16" t="s">
        <v>22</v>
      </c>
      <c r="D110" s="17">
        <v>420.41840000000002</v>
      </c>
      <c r="E110" s="18">
        <v>-5.0505000000000004</v>
      </c>
      <c r="F110" s="19">
        <f t="shared" si="1"/>
        <v>0.7</v>
      </c>
    </row>
    <row r="111" spans="1:6" x14ac:dyDescent="0.3">
      <c r="A111" s="14">
        <v>110</v>
      </c>
      <c r="B111" s="20">
        <v>3.0285000000000002</v>
      </c>
      <c r="C111" s="21" t="s">
        <v>23</v>
      </c>
      <c r="D111" s="17">
        <v>423.44690000000003</v>
      </c>
      <c r="E111" s="18">
        <v>-2.0219999999999998</v>
      </c>
      <c r="F111" s="19">
        <f t="shared" si="1"/>
        <v>0.7</v>
      </c>
    </row>
    <row r="112" spans="1:6" x14ac:dyDescent="0.3">
      <c r="A112" s="14">
        <v>111</v>
      </c>
      <c r="B112" s="20">
        <v>3.3304999999999998</v>
      </c>
      <c r="C112" s="21" t="s">
        <v>23</v>
      </c>
      <c r="D112" s="17">
        <v>426.7774</v>
      </c>
      <c r="E112" s="22">
        <v>0</v>
      </c>
      <c r="F112" s="19">
        <f t="shared" si="1"/>
        <v>0.7</v>
      </c>
    </row>
    <row r="113" spans="1:6" x14ac:dyDescent="0.3">
      <c r="A113" s="14">
        <v>112</v>
      </c>
      <c r="B113" s="15">
        <v>-5.0247000000000002</v>
      </c>
      <c r="C113" s="16" t="s">
        <v>22</v>
      </c>
      <c r="D113" s="17">
        <v>421.7527</v>
      </c>
      <c r="E113" s="18">
        <v>-5.0247000000000002</v>
      </c>
      <c r="F113" s="19">
        <f t="shared" si="1"/>
        <v>0.65</v>
      </c>
    </row>
    <row r="114" spans="1:6" x14ac:dyDescent="0.3">
      <c r="A114" s="14">
        <v>113</v>
      </c>
      <c r="B114" s="15">
        <v>-0.85319999999999996</v>
      </c>
      <c r="C114" s="16" t="s">
        <v>22</v>
      </c>
      <c r="D114" s="17">
        <v>420.89949999999999</v>
      </c>
      <c r="E114" s="18">
        <v>-5.8779000000000003</v>
      </c>
      <c r="F114" s="19">
        <f t="shared" si="1"/>
        <v>0.6</v>
      </c>
    </row>
    <row r="115" spans="1:6" x14ac:dyDescent="0.3">
      <c r="A115" s="14">
        <v>114</v>
      </c>
      <c r="B115" s="20">
        <v>14.5722</v>
      </c>
      <c r="C115" s="21" t="s">
        <v>23</v>
      </c>
      <c r="D115" s="17">
        <v>435.4717</v>
      </c>
      <c r="E115" s="22">
        <v>0</v>
      </c>
      <c r="F115" s="19">
        <f t="shared" si="1"/>
        <v>0.6</v>
      </c>
    </row>
    <row r="116" spans="1:6" x14ac:dyDescent="0.3">
      <c r="A116" s="14">
        <v>115</v>
      </c>
      <c r="B116" s="15">
        <v>-0.32590000000000002</v>
      </c>
      <c r="C116" s="16" t="s">
        <v>22</v>
      </c>
      <c r="D116" s="17">
        <v>435.14580000000001</v>
      </c>
      <c r="E116" s="18">
        <v>-0.32590000000000002</v>
      </c>
      <c r="F116" s="19">
        <f t="shared" si="1"/>
        <v>0.6</v>
      </c>
    </row>
    <row r="117" spans="1:6" x14ac:dyDescent="0.3">
      <c r="A117" s="14">
        <v>116</v>
      </c>
      <c r="B117" s="20">
        <v>10.4085</v>
      </c>
      <c r="C117" s="21" t="s">
        <v>23</v>
      </c>
      <c r="D117" s="17">
        <v>445.55430000000001</v>
      </c>
      <c r="E117" s="22">
        <v>0</v>
      </c>
      <c r="F117" s="19">
        <f t="shared" si="1"/>
        <v>0.6</v>
      </c>
    </row>
    <row r="118" spans="1:6" x14ac:dyDescent="0.3">
      <c r="A118" s="14">
        <v>117</v>
      </c>
      <c r="B118" s="20">
        <v>22.2819</v>
      </c>
      <c r="C118" s="21" t="s">
        <v>23</v>
      </c>
      <c r="D118" s="17">
        <v>467.83620000000002</v>
      </c>
      <c r="E118" s="22">
        <v>0</v>
      </c>
      <c r="F118" s="19">
        <f t="shared" si="1"/>
        <v>0.6</v>
      </c>
    </row>
    <row r="119" spans="1:6" x14ac:dyDescent="0.3">
      <c r="A119" s="14">
        <v>118</v>
      </c>
      <c r="B119" s="15">
        <v>-7.0467000000000004</v>
      </c>
      <c r="C119" s="16" t="s">
        <v>22</v>
      </c>
      <c r="D119" s="17">
        <v>460.78949999999998</v>
      </c>
      <c r="E119" s="18">
        <v>-7.0467000000000004</v>
      </c>
      <c r="F119" s="19">
        <f t="shared" si="1"/>
        <v>0.55000000000000004</v>
      </c>
    </row>
    <row r="120" spans="1:6" x14ac:dyDescent="0.3">
      <c r="A120" s="14">
        <v>119</v>
      </c>
      <c r="B120" s="20">
        <v>5.7907999999999999</v>
      </c>
      <c r="C120" s="21" t="s">
        <v>23</v>
      </c>
      <c r="D120" s="17">
        <v>466.58030000000002</v>
      </c>
      <c r="E120" s="18">
        <v>-1.256</v>
      </c>
      <c r="F120" s="19">
        <f t="shared" si="1"/>
        <v>0.55000000000000004</v>
      </c>
    </row>
    <row r="121" spans="1:6" x14ac:dyDescent="0.3">
      <c r="A121" s="14">
        <v>120</v>
      </c>
      <c r="B121" s="20">
        <v>10.6975</v>
      </c>
      <c r="C121" s="21" t="s">
        <v>23</v>
      </c>
      <c r="D121" s="17">
        <v>477.27769999999998</v>
      </c>
      <c r="E121" s="22">
        <v>0</v>
      </c>
      <c r="F121" s="19">
        <f t="shared" si="1"/>
        <v>0.6</v>
      </c>
    </row>
    <row r="122" spans="1:6" x14ac:dyDescent="0.3">
      <c r="A122" s="14">
        <v>121</v>
      </c>
      <c r="B122" s="20">
        <v>17.6313</v>
      </c>
      <c r="C122" s="21" t="s">
        <v>23</v>
      </c>
      <c r="D122" s="17">
        <v>494.90899999999999</v>
      </c>
      <c r="E122" s="22">
        <v>0</v>
      </c>
      <c r="F122" s="19">
        <f t="shared" si="1"/>
        <v>0.6</v>
      </c>
    </row>
    <row r="123" spans="1:6" x14ac:dyDescent="0.3">
      <c r="A123" s="14">
        <v>122</v>
      </c>
      <c r="B123" s="20">
        <v>8.7169000000000008</v>
      </c>
      <c r="C123" s="21" t="s">
        <v>23</v>
      </c>
      <c r="D123" s="17">
        <v>503.6259</v>
      </c>
      <c r="E123" s="22">
        <v>0</v>
      </c>
      <c r="F123" s="19">
        <f t="shared" si="1"/>
        <v>0.6</v>
      </c>
    </row>
    <row r="124" spans="1:6" x14ac:dyDescent="0.3">
      <c r="A124" s="14">
        <v>123</v>
      </c>
      <c r="B124" s="20">
        <v>21.4251</v>
      </c>
      <c r="C124" s="21" t="s">
        <v>23</v>
      </c>
      <c r="D124" s="17">
        <v>525.05100000000004</v>
      </c>
      <c r="E124" s="22">
        <v>0</v>
      </c>
      <c r="F124" s="19">
        <f t="shared" si="1"/>
        <v>0.65</v>
      </c>
    </row>
    <row r="125" spans="1:6" x14ac:dyDescent="0.3">
      <c r="A125" s="14">
        <v>124</v>
      </c>
      <c r="B125" s="15">
        <v>-10.8217</v>
      </c>
      <c r="C125" s="16" t="s">
        <v>22</v>
      </c>
      <c r="D125" s="17">
        <v>514.22940000000006</v>
      </c>
      <c r="E125" s="18">
        <v>-10.8217</v>
      </c>
      <c r="F125" s="19">
        <f t="shared" si="1"/>
        <v>0.65</v>
      </c>
    </row>
    <row r="126" spans="1:6" x14ac:dyDescent="0.3">
      <c r="A126" s="14">
        <v>125</v>
      </c>
      <c r="B126" s="15">
        <v>-0.33229999999999998</v>
      </c>
      <c r="C126" s="16" t="s">
        <v>22</v>
      </c>
      <c r="D126" s="17">
        <v>513.89700000000005</v>
      </c>
      <c r="E126" s="18">
        <v>-11.154</v>
      </c>
      <c r="F126" s="19">
        <f t="shared" si="1"/>
        <v>0.65</v>
      </c>
    </row>
    <row r="127" spans="1:6" x14ac:dyDescent="0.3">
      <c r="A127" s="14">
        <v>126</v>
      </c>
      <c r="B127" s="15">
        <v>-33.750999999999998</v>
      </c>
      <c r="C127" s="16" t="s">
        <v>22</v>
      </c>
      <c r="D127" s="17">
        <v>480.14609999999999</v>
      </c>
      <c r="E127" s="18">
        <v>-44.905000000000001</v>
      </c>
      <c r="F127" s="19">
        <f t="shared" si="1"/>
        <v>0.6</v>
      </c>
    </row>
    <row r="128" spans="1:6" x14ac:dyDescent="0.3">
      <c r="A128" s="14">
        <v>127</v>
      </c>
      <c r="B128" s="20">
        <v>0.46089999999999998</v>
      </c>
      <c r="C128" s="21" t="s">
        <v>23</v>
      </c>
      <c r="D128" s="17">
        <v>480.60700000000003</v>
      </c>
      <c r="E128" s="18">
        <v>-44.444099999999999</v>
      </c>
      <c r="F128" s="19">
        <f t="shared" si="1"/>
        <v>0.6</v>
      </c>
    </row>
    <row r="129" spans="1:6" x14ac:dyDescent="0.3">
      <c r="A129" s="14">
        <v>128</v>
      </c>
      <c r="B129" s="20">
        <v>17.134399999999999</v>
      </c>
      <c r="C129" s="21" t="s">
        <v>23</v>
      </c>
      <c r="D129" s="17">
        <v>497.7414</v>
      </c>
      <c r="E129" s="18">
        <v>-27.309699999999999</v>
      </c>
      <c r="F129" s="19">
        <f t="shared" si="1"/>
        <v>0.6</v>
      </c>
    </row>
    <row r="130" spans="1:6" x14ac:dyDescent="0.3">
      <c r="A130" s="14">
        <v>129</v>
      </c>
      <c r="B130" s="20">
        <v>20.5718</v>
      </c>
      <c r="C130" s="21" t="s">
        <v>23</v>
      </c>
      <c r="D130" s="17">
        <v>518.31320000000005</v>
      </c>
      <c r="E130" s="18">
        <v>-6.7378999999999998</v>
      </c>
      <c r="F130" s="19">
        <f t="shared" si="1"/>
        <v>0.65</v>
      </c>
    </row>
    <row r="131" spans="1:6" x14ac:dyDescent="0.3">
      <c r="A131" s="14">
        <v>130</v>
      </c>
      <c r="B131" s="20">
        <v>0.94289999999999996</v>
      </c>
      <c r="C131" s="21" t="s">
        <v>23</v>
      </c>
      <c r="D131" s="17">
        <v>519.25609999999995</v>
      </c>
      <c r="E131" s="18">
        <v>-5.7949999999999999</v>
      </c>
      <c r="F131" s="19">
        <f t="shared" si="1"/>
        <v>0.65</v>
      </c>
    </row>
    <row r="132" spans="1:6" x14ac:dyDescent="0.3">
      <c r="A132" s="14">
        <v>131</v>
      </c>
      <c r="B132" s="15">
        <v>-4.6494999999999997</v>
      </c>
      <c r="C132" s="16" t="s">
        <v>22</v>
      </c>
      <c r="D132" s="17">
        <v>514.60659999999996</v>
      </c>
      <c r="E132" s="18">
        <v>-10.4445</v>
      </c>
      <c r="F132" s="19">
        <f t="shared" si="1"/>
        <v>0.6</v>
      </c>
    </row>
    <row r="133" spans="1:6" x14ac:dyDescent="0.3">
      <c r="A133" s="14">
        <v>132</v>
      </c>
      <c r="B133" s="15">
        <v>-4.5438999999999998</v>
      </c>
      <c r="C133" s="16" t="s">
        <v>22</v>
      </c>
      <c r="D133" s="17">
        <v>510.06270000000001</v>
      </c>
      <c r="E133" s="18">
        <v>-14.988300000000001</v>
      </c>
      <c r="F133" s="19">
        <f t="shared" si="1"/>
        <v>0.6</v>
      </c>
    </row>
    <row r="134" spans="1:6" x14ac:dyDescent="0.3">
      <c r="A134" s="14">
        <v>133</v>
      </c>
      <c r="B134" s="20">
        <v>41.992800000000003</v>
      </c>
      <c r="C134" s="21" t="s">
        <v>23</v>
      </c>
      <c r="D134" s="17">
        <v>552.05550000000005</v>
      </c>
      <c r="E134" s="22">
        <v>0</v>
      </c>
      <c r="F134" s="19">
        <f t="shared" si="1"/>
        <v>0.65</v>
      </c>
    </row>
    <row r="135" spans="1:6" x14ac:dyDescent="0.3">
      <c r="A135" s="14">
        <v>134</v>
      </c>
      <c r="B135" s="20">
        <v>11.8178</v>
      </c>
      <c r="C135" s="21" t="s">
        <v>23</v>
      </c>
      <c r="D135" s="17">
        <v>563.87339999999995</v>
      </c>
      <c r="E135" s="22">
        <v>0</v>
      </c>
      <c r="F135" s="19">
        <f t="shared" si="1"/>
        <v>0.65</v>
      </c>
    </row>
    <row r="136" spans="1:6" x14ac:dyDescent="0.3">
      <c r="A136" s="14">
        <v>135</v>
      </c>
      <c r="B136" s="15">
        <v>-3.0749</v>
      </c>
      <c r="C136" s="16" t="s">
        <v>22</v>
      </c>
      <c r="D136" s="17">
        <v>560.79840000000002</v>
      </c>
      <c r="E136" s="18">
        <v>-3.0749</v>
      </c>
      <c r="F136" s="19">
        <f t="shared" si="1"/>
        <v>0.65</v>
      </c>
    </row>
    <row r="137" spans="1:6" x14ac:dyDescent="0.3">
      <c r="A137" s="14">
        <v>136</v>
      </c>
      <c r="B137" s="20">
        <v>10.431100000000001</v>
      </c>
      <c r="C137" s="21" t="s">
        <v>23</v>
      </c>
      <c r="D137" s="17">
        <v>571.22950000000003</v>
      </c>
      <c r="E137" s="22">
        <v>0</v>
      </c>
      <c r="F137" s="19">
        <f t="shared" si="1"/>
        <v>0.65</v>
      </c>
    </row>
    <row r="138" spans="1:6" x14ac:dyDescent="0.3">
      <c r="A138" s="14">
        <v>137</v>
      </c>
      <c r="B138" s="20">
        <v>11.2239</v>
      </c>
      <c r="C138" s="21" t="s">
        <v>23</v>
      </c>
      <c r="D138" s="17">
        <v>582.45339999999999</v>
      </c>
      <c r="E138" s="22">
        <v>0</v>
      </c>
      <c r="F138" s="19">
        <f t="shared" si="1"/>
        <v>0.65</v>
      </c>
    </row>
    <row r="139" spans="1:6" x14ac:dyDescent="0.3">
      <c r="A139" s="14">
        <v>138</v>
      </c>
      <c r="B139" s="20">
        <v>13.9055</v>
      </c>
      <c r="C139" s="21" t="s">
        <v>23</v>
      </c>
      <c r="D139" s="17">
        <v>596.35900000000004</v>
      </c>
      <c r="E139" s="22">
        <v>0</v>
      </c>
      <c r="F139" s="19">
        <f t="shared" si="1"/>
        <v>0.7</v>
      </c>
    </row>
    <row r="140" spans="1:6" x14ac:dyDescent="0.3">
      <c r="A140" s="14">
        <v>139</v>
      </c>
      <c r="B140" s="20">
        <v>25.509799999999998</v>
      </c>
      <c r="C140" s="21" t="s">
        <v>23</v>
      </c>
      <c r="D140" s="17">
        <v>621.86869999999999</v>
      </c>
      <c r="E140" s="22">
        <v>0</v>
      </c>
      <c r="F140" s="19">
        <f t="shared" si="1"/>
        <v>0.7</v>
      </c>
    </row>
    <row r="141" spans="1:6" x14ac:dyDescent="0.3">
      <c r="A141" s="14">
        <v>140</v>
      </c>
      <c r="B141" s="20">
        <v>12.6852</v>
      </c>
      <c r="C141" s="21" t="s">
        <v>23</v>
      </c>
      <c r="D141" s="17">
        <v>634.5539</v>
      </c>
      <c r="E141" s="22">
        <v>0</v>
      </c>
      <c r="F141" s="19">
        <f t="shared" si="1"/>
        <v>0.7</v>
      </c>
    </row>
    <row r="142" spans="1:6" x14ac:dyDescent="0.3">
      <c r="A142" s="14">
        <v>141</v>
      </c>
      <c r="B142" s="20">
        <v>18.535699999999999</v>
      </c>
      <c r="C142" s="21" t="s">
        <v>23</v>
      </c>
      <c r="D142" s="17">
        <v>653.08960000000002</v>
      </c>
      <c r="E142" s="22">
        <v>0</v>
      </c>
      <c r="F142" s="19">
        <f t="shared" si="1"/>
        <v>0.7</v>
      </c>
    </row>
    <row r="143" spans="1:6" x14ac:dyDescent="0.3">
      <c r="A143" s="14">
        <v>142</v>
      </c>
      <c r="B143" s="20">
        <v>8.9398</v>
      </c>
      <c r="C143" s="21" t="s">
        <v>23</v>
      </c>
      <c r="D143" s="17">
        <v>662.02940000000001</v>
      </c>
      <c r="E143" s="22">
        <v>0</v>
      </c>
      <c r="F143" s="19">
        <f t="shared" si="1"/>
        <v>0.7</v>
      </c>
    </row>
    <row r="144" spans="1:6" x14ac:dyDescent="0.3">
      <c r="A144" s="14">
        <v>143</v>
      </c>
      <c r="B144" s="20">
        <v>6.9047999999999998</v>
      </c>
      <c r="C144" s="21" t="s">
        <v>23</v>
      </c>
      <c r="D144" s="17">
        <v>668.93420000000003</v>
      </c>
      <c r="E144" s="22">
        <v>0</v>
      </c>
      <c r="F144" s="19">
        <f t="shared" si="1"/>
        <v>0.7</v>
      </c>
    </row>
    <row r="145" spans="1:6" x14ac:dyDescent="0.3">
      <c r="A145" s="14">
        <v>144</v>
      </c>
      <c r="B145" s="20">
        <v>9.7585999999999995</v>
      </c>
      <c r="C145" s="21" t="s">
        <v>23</v>
      </c>
      <c r="D145" s="17">
        <v>678.69290000000001</v>
      </c>
      <c r="E145" s="22">
        <v>0</v>
      </c>
      <c r="F145" s="19">
        <f t="shared" si="1"/>
        <v>0.75</v>
      </c>
    </row>
    <row r="146" spans="1:6" x14ac:dyDescent="0.3">
      <c r="A146" s="14">
        <v>145</v>
      </c>
      <c r="B146" s="20">
        <v>1.1601999999999999</v>
      </c>
      <c r="C146" s="21" t="s">
        <v>23</v>
      </c>
      <c r="D146" s="17">
        <v>679.85310000000004</v>
      </c>
      <c r="E146" s="22">
        <v>0</v>
      </c>
      <c r="F146" s="19">
        <f t="shared" si="1"/>
        <v>0.8</v>
      </c>
    </row>
    <row r="147" spans="1:6" x14ac:dyDescent="0.3">
      <c r="A147" s="14">
        <v>146</v>
      </c>
      <c r="B147" s="15">
        <v>-7.2035999999999998</v>
      </c>
      <c r="C147" s="16" t="s">
        <v>22</v>
      </c>
      <c r="D147" s="17">
        <v>672.64949999999999</v>
      </c>
      <c r="E147" s="18">
        <v>-7.2035999999999998</v>
      </c>
      <c r="F147" s="19">
        <f t="shared" si="1"/>
        <v>0.8</v>
      </c>
    </row>
    <row r="148" spans="1:6" x14ac:dyDescent="0.3">
      <c r="A148" s="14">
        <v>147</v>
      </c>
      <c r="B148" s="20">
        <v>1.0363</v>
      </c>
      <c r="C148" s="21" t="s">
        <v>23</v>
      </c>
      <c r="D148" s="17">
        <v>673.68589999999995</v>
      </c>
      <c r="E148" s="18">
        <v>-6.1672000000000002</v>
      </c>
      <c r="F148" s="19">
        <f t="shared" si="1"/>
        <v>0.8</v>
      </c>
    </row>
    <row r="149" spans="1:6" x14ac:dyDescent="0.3">
      <c r="A149" s="14">
        <v>148</v>
      </c>
      <c r="B149" s="20">
        <v>9.6138999999999992</v>
      </c>
      <c r="C149" s="21" t="s">
        <v>23</v>
      </c>
      <c r="D149" s="17">
        <v>683.2998</v>
      </c>
      <c r="E149" s="22">
        <v>0</v>
      </c>
      <c r="F149" s="19">
        <f t="shared" si="1"/>
        <v>0.8</v>
      </c>
    </row>
    <row r="150" spans="1:6" x14ac:dyDescent="0.3">
      <c r="A150" s="14">
        <v>149</v>
      </c>
      <c r="B150" s="20">
        <v>32.441400000000002</v>
      </c>
      <c r="C150" s="21" t="s">
        <v>23</v>
      </c>
      <c r="D150" s="17">
        <v>715.74120000000005</v>
      </c>
      <c r="E150" s="22">
        <v>0</v>
      </c>
      <c r="F150" s="19">
        <f t="shared" ref="F150:F213" si="2">COUNTIF(C131:C150,"WIN")/20</f>
        <v>0.8</v>
      </c>
    </row>
    <row r="151" spans="1:6" x14ac:dyDescent="0.3">
      <c r="A151" s="14">
        <v>150</v>
      </c>
      <c r="B151" s="20">
        <v>0</v>
      </c>
      <c r="C151" s="21" t="s">
        <v>23</v>
      </c>
      <c r="D151" s="17">
        <v>715.74120000000005</v>
      </c>
      <c r="E151" s="22">
        <v>0</v>
      </c>
      <c r="F151" s="19">
        <f t="shared" si="2"/>
        <v>0.8</v>
      </c>
    </row>
    <row r="152" spans="1:6" x14ac:dyDescent="0.3">
      <c r="A152" s="14">
        <v>151</v>
      </c>
      <c r="B152" s="20">
        <v>4.2755999999999998</v>
      </c>
      <c r="C152" s="21" t="s">
        <v>23</v>
      </c>
      <c r="D152" s="17">
        <v>720.01679999999999</v>
      </c>
      <c r="E152" s="22">
        <v>0</v>
      </c>
      <c r="F152" s="19">
        <f t="shared" si="2"/>
        <v>0.85</v>
      </c>
    </row>
    <row r="153" spans="1:6" x14ac:dyDescent="0.3">
      <c r="A153" s="14">
        <v>152</v>
      </c>
      <c r="B153" s="20">
        <v>40.289400000000001</v>
      </c>
      <c r="C153" s="21" t="s">
        <v>23</v>
      </c>
      <c r="D153" s="17">
        <v>760.30619999999999</v>
      </c>
      <c r="E153" s="22">
        <v>0</v>
      </c>
      <c r="F153" s="19">
        <f t="shared" si="2"/>
        <v>0.9</v>
      </c>
    </row>
    <row r="154" spans="1:6" x14ac:dyDescent="0.3">
      <c r="A154" s="14">
        <v>153</v>
      </c>
      <c r="B154" s="20">
        <v>1.2235</v>
      </c>
      <c r="C154" s="21" t="s">
        <v>23</v>
      </c>
      <c r="D154" s="17">
        <v>761.52959999999996</v>
      </c>
      <c r="E154" s="22">
        <v>0</v>
      </c>
      <c r="F154" s="19">
        <f t="shared" si="2"/>
        <v>0.9</v>
      </c>
    </row>
    <row r="155" spans="1:6" x14ac:dyDescent="0.3">
      <c r="A155" s="14">
        <v>154</v>
      </c>
      <c r="B155" s="20">
        <v>8.8218999999999994</v>
      </c>
      <c r="C155" s="21" t="s">
        <v>23</v>
      </c>
      <c r="D155" s="17">
        <v>770.35149999999999</v>
      </c>
      <c r="E155" s="22">
        <v>0</v>
      </c>
      <c r="F155" s="19">
        <f t="shared" si="2"/>
        <v>0.9</v>
      </c>
    </row>
    <row r="156" spans="1:6" x14ac:dyDescent="0.3">
      <c r="A156" s="14">
        <v>155</v>
      </c>
      <c r="B156" s="20">
        <v>7.6694000000000004</v>
      </c>
      <c r="C156" s="21" t="s">
        <v>23</v>
      </c>
      <c r="D156" s="17">
        <v>778.02089999999998</v>
      </c>
      <c r="E156" s="22">
        <v>0</v>
      </c>
      <c r="F156" s="19">
        <f t="shared" si="2"/>
        <v>0.95</v>
      </c>
    </row>
    <row r="157" spans="1:6" x14ac:dyDescent="0.3">
      <c r="A157" s="14">
        <v>156</v>
      </c>
      <c r="B157" s="20">
        <v>7.6143999999999998</v>
      </c>
      <c r="C157" s="21" t="s">
        <v>23</v>
      </c>
      <c r="D157" s="17">
        <v>785.63530000000003</v>
      </c>
      <c r="E157" s="22">
        <v>0</v>
      </c>
      <c r="F157" s="19">
        <f t="shared" si="2"/>
        <v>0.95</v>
      </c>
    </row>
    <row r="158" spans="1:6" x14ac:dyDescent="0.3">
      <c r="A158" s="14">
        <v>157</v>
      </c>
      <c r="B158" s="15">
        <v>-0.46150000000000002</v>
      </c>
      <c r="C158" s="16" t="s">
        <v>22</v>
      </c>
      <c r="D158" s="17">
        <v>785.17370000000005</v>
      </c>
      <c r="E158" s="18">
        <v>-0.46150000000000002</v>
      </c>
      <c r="F158" s="19">
        <f t="shared" si="2"/>
        <v>0.9</v>
      </c>
    </row>
    <row r="159" spans="1:6" x14ac:dyDescent="0.3">
      <c r="A159" s="14">
        <v>158</v>
      </c>
      <c r="B159" s="15">
        <v>-12.675000000000001</v>
      </c>
      <c r="C159" s="16" t="s">
        <v>22</v>
      </c>
      <c r="D159" s="17">
        <v>772.49869999999999</v>
      </c>
      <c r="E159" s="18">
        <v>-13.1366</v>
      </c>
      <c r="F159" s="19">
        <f t="shared" si="2"/>
        <v>0.85</v>
      </c>
    </row>
    <row r="160" spans="1:6" x14ac:dyDescent="0.3">
      <c r="A160" s="14">
        <v>159</v>
      </c>
      <c r="B160" s="15">
        <v>-0.56369999999999998</v>
      </c>
      <c r="C160" s="16" t="s">
        <v>22</v>
      </c>
      <c r="D160" s="17">
        <v>771.93499999999995</v>
      </c>
      <c r="E160" s="18">
        <v>-13.7003</v>
      </c>
      <c r="F160" s="19">
        <f t="shared" si="2"/>
        <v>0.8</v>
      </c>
    </row>
    <row r="161" spans="1:6" x14ac:dyDescent="0.3">
      <c r="A161" s="14">
        <v>160</v>
      </c>
      <c r="B161" s="20">
        <v>2.0478999999999998</v>
      </c>
      <c r="C161" s="21" t="s">
        <v>23</v>
      </c>
      <c r="D161" s="17">
        <v>773.9828</v>
      </c>
      <c r="E161" s="18">
        <v>-11.6524</v>
      </c>
      <c r="F161" s="19">
        <f t="shared" si="2"/>
        <v>0.8</v>
      </c>
    </row>
    <row r="162" spans="1:6" x14ac:dyDescent="0.3">
      <c r="A162" s="14">
        <v>161</v>
      </c>
      <c r="B162" s="15">
        <v>-9.7027999999999999</v>
      </c>
      <c r="C162" s="16" t="s">
        <v>22</v>
      </c>
      <c r="D162" s="17">
        <v>764.28</v>
      </c>
      <c r="E162" s="18">
        <v>-21.3552</v>
      </c>
      <c r="F162" s="19">
        <f t="shared" si="2"/>
        <v>0.75</v>
      </c>
    </row>
    <row r="163" spans="1:6" x14ac:dyDescent="0.3">
      <c r="A163" s="14">
        <v>162</v>
      </c>
      <c r="B163" s="15">
        <v>-10.399100000000001</v>
      </c>
      <c r="C163" s="16" t="s">
        <v>22</v>
      </c>
      <c r="D163" s="17">
        <v>753.8809</v>
      </c>
      <c r="E163" s="18">
        <v>-31.754300000000001</v>
      </c>
      <c r="F163" s="19">
        <f t="shared" si="2"/>
        <v>0.7</v>
      </c>
    </row>
    <row r="164" spans="1:6" x14ac:dyDescent="0.3">
      <c r="A164" s="14">
        <v>163</v>
      </c>
      <c r="B164" s="15">
        <v>-0.1208</v>
      </c>
      <c r="C164" s="16" t="s">
        <v>22</v>
      </c>
      <c r="D164" s="17">
        <v>753.76009999999997</v>
      </c>
      <c r="E164" s="18">
        <v>-31.8752</v>
      </c>
      <c r="F164" s="19">
        <f t="shared" si="2"/>
        <v>0.65</v>
      </c>
    </row>
    <row r="165" spans="1:6" x14ac:dyDescent="0.3">
      <c r="A165" s="14">
        <v>164</v>
      </c>
      <c r="B165" s="15">
        <v>-4.3235000000000001</v>
      </c>
      <c r="C165" s="16" t="s">
        <v>22</v>
      </c>
      <c r="D165" s="17">
        <v>749.4366</v>
      </c>
      <c r="E165" s="18">
        <v>-36.198700000000002</v>
      </c>
      <c r="F165" s="19">
        <f t="shared" si="2"/>
        <v>0.6</v>
      </c>
    </row>
    <row r="166" spans="1:6" x14ac:dyDescent="0.3">
      <c r="A166" s="14">
        <v>165</v>
      </c>
      <c r="B166" s="15">
        <v>-12.6653</v>
      </c>
      <c r="C166" s="16" t="s">
        <v>22</v>
      </c>
      <c r="D166" s="17">
        <v>736.7713</v>
      </c>
      <c r="E166" s="18">
        <v>-48.863999999999997</v>
      </c>
      <c r="F166" s="19">
        <f t="shared" si="2"/>
        <v>0.55000000000000004</v>
      </c>
    </row>
    <row r="167" spans="1:6" x14ac:dyDescent="0.3">
      <c r="A167" s="14">
        <v>166</v>
      </c>
      <c r="B167" s="15">
        <v>-12.5923</v>
      </c>
      <c r="C167" s="16" t="s">
        <v>22</v>
      </c>
      <c r="D167" s="17">
        <v>724.17899999999997</v>
      </c>
      <c r="E167" s="18">
        <v>-61.456299999999999</v>
      </c>
      <c r="F167" s="19">
        <f t="shared" si="2"/>
        <v>0.55000000000000004</v>
      </c>
    </row>
    <row r="168" spans="1:6" x14ac:dyDescent="0.3">
      <c r="A168" s="14">
        <v>167</v>
      </c>
      <c r="B168" s="20">
        <v>3.7681</v>
      </c>
      <c r="C168" s="21" t="s">
        <v>23</v>
      </c>
      <c r="D168" s="17">
        <v>727.94709999999998</v>
      </c>
      <c r="E168" s="18">
        <v>-57.688200000000002</v>
      </c>
      <c r="F168" s="19">
        <f t="shared" si="2"/>
        <v>0.55000000000000004</v>
      </c>
    </row>
    <row r="169" spans="1:6" x14ac:dyDescent="0.3">
      <c r="A169" s="14">
        <v>168</v>
      </c>
      <c r="B169" s="20">
        <v>0.42499999999999999</v>
      </c>
      <c r="C169" s="21" t="s">
        <v>23</v>
      </c>
      <c r="D169" s="17">
        <v>728.37210000000005</v>
      </c>
      <c r="E169" s="18">
        <v>-57.263199999999998</v>
      </c>
      <c r="F169" s="19">
        <f t="shared" si="2"/>
        <v>0.55000000000000004</v>
      </c>
    </row>
    <row r="170" spans="1:6" x14ac:dyDescent="0.3">
      <c r="A170" s="14">
        <v>169</v>
      </c>
      <c r="B170" s="20">
        <v>5.7809999999999997</v>
      </c>
      <c r="C170" s="21" t="s">
        <v>23</v>
      </c>
      <c r="D170" s="17">
        <v>734.15309999999999</v>
      </c>
      <c r="E170" s="18">
        <v>-51.482199999999999</v>
      </c>
      <c r="F170" s="19">
        <f t="shared" si="2"/>
        <v>0.55000000000000004</v>
      </c>
    </row>
    <row r="171" spans="1:6" x14ac:dyDescent="0.3">
      <c r="A171" s="14">
        <v>170</v>
      </c>
      <c r="B171" s="20">
        <v>46.712400000000002</v>
      </c>
      <c r="C171" s="21" t="s">
        <v>23</v>
      </c>
      <c r="D171" s="17">
        <v>780.86559999999997</v>
      </c>
      <c r="E171" s="18">
        <v>-4.7697000000000003</v>
      </c>
      <c r="F171" s="19">
        <f t="shared" si="2"/>
        <v>0.55000000000000004</v>
      </c>
    </row>
    <row r="172" spans="1:6" x14ac:dyDescent="0.3">
      <c r="A172" s="14">
        <v>171</v>
      </c>
      <c r="B172" s="20">
        <v>8.2446000000000002</v>
      </c>
      <c r="C172" s="21" t="s">
        <v>23</v>
      </c>
      <c r="D172" s="17">
        <v>789.11019999999996</v>
      </c>
      <c r="E172" s="22">
        <v>0</v>
      </c>
      <c r="F172" s="19">
        <f t="shared" si="2"/>
        <v>0.55000000000000004</v>
      </c>
    </row>
    <row r="173" spans="1:6" x14ac:dyDescent="0.3">
      <c r="A173" s="14">
        <v>172</v>
      </c>
      <c r="B173" s="20">
        <v>15.962999999999999</v>
      </c>
      <c r="C173" s="21" t="s">
        <v>23</v>
      </c>
      <c r="D173" s="17">
        <v>805.07320000000004</v>
      </c>
      <c r="E173" s="22">
        <v>0</v>
      </c>
      <c r="F173" s="19">
        <f t="shared" si="2"/>
        <v>0.55000000000000004</v>
      </c>
    </row>
    <row r="174" spans="1:6" x14ac:dyDescent="0.3">
      <c r="A174" s="14">
        <v>173</v>
      </c>
      <c r="B174" s="20">
        <v>17.64</v>
      </c>
      <c r="C174" s="21" t="s">
        <v>23</v>
      </c>
      <c r="D174" s="17">
        <v>822.71320000000003</v>
      </c>
      <c r="E174" s="22">
        <v>0</v>
      </c>
      <c r="F174" s="19">
        <f t="shared" si="2"/>
        <v>0.55000000000000004</v>
      </c>
    </row>
    <row r="175" spans="1:6" x14ac:dyDescent="0.3">
      <c r="A175" s="14">
        <v>174</v>
      </c>
      <c r="B175" s="15">
        <v>-40.3932</v>
      </c>
      <c r="C175" s="16" t="s">
        <v>22</v>
      </c>
      <c r="D175" s="17">
        <v>782.31989999999996</v>
      </c>
      <c r="E175" s="18">
        <v>-40.3932</v>
      </c>
      <c r="F175" s="19">
        <f t="shared" si="2"/>
        <v>0.5</v>
      </c>
    </row>
    <row r="176" spans="1:6" x14ac:dyDescent="0.3">
      <c r="A176" s="14">
        <v>175</v>
      </c>
      <c r="B176" s="20">
        <v>6.7500999999999998</v>
      </c>
      <c r="C176" s="21" t="s">
        <v>23</v>
      </c>
      <c r="D176" s="17">
        <v>789.07</v>
      </c>
      <c r="E176" s="18">
        <v>-33.643099999999997</v>
      </c>
      <c r="F176" s="19">
        <f t="shared" si="2"/>
        <v>0.5</v>
      </c>
    </row>
    <row r="177" spans="1:6" x14ac:dyDescent="0.3">
      <c r="A177" s="14">
        <v>176</v>
      </c>
      <c r="B177" s="15">
        <v>-14.515499999999999</v>
      </c>
      <c r="C177" s="16" t="s">
        <v>22</v>
      </c>
      <c r="D177" s="17">
        <v>774.55460000000005</v>
      </c>
      <c r="E177" s="18">
        <v>-48.1586</v>
      </c>
      <c r="F177" s="19">
        <f t="shared" si="2"/>
        <v>0.45</v>
      </c>
    </row>
    <row r="178" spans="1:6" x14ac:dyDescent="0.3">
      <c r="A178" s="14">
        <v>177</v>
      </c>
      <c r="B178" s="20">
        <v>6.5396999999999998</v>
      </c>
      <c r="C178" s="21" t="s">
        <v>23</v>
      </c>
      <c r="D178" s="17">
        <v>781.0942</v>
      </c>
      <c r="E178" s="18">
        <v>-41.618899999999996</v>
      </c>
      <c r="F178" s="19">
        <f t="shared" si="2"/>
        <v>0.5</v>
      </c>
    </row>
    <row r="179" spans="1:6" x14ac:dyDescent="0.3">
      <c r="A179" s="14">
        <v>178</v>
      </c>
      <c r="B179" s="15">
        <v>-5.0848000000000004</v>
      </c>
      <c r="C179" s="16" t="s">
        <v>22</v>
      </c>
      <c r="D179" s="17">
        <v>776.0095</v>
      </c>
      <c r="E179" s="18">
        <v>-46.703699999999998</v>
      </c>
      <c r="F179" s="19">
        <f t="shared" si="2"/>
        <v>0.5</v>
      </c>
    </row>
    <row r="180" spans="1:6" x14ac:dyDescent="0.3">
      <c r="A180" s="14">
        <v>179</v>
      </c>
      <c r="B180" s="20">
        <v>9.7970000000000006</v>
      </c>
      <c r="C180" s="21" t="s">
        <v>23</v>
      </c>
      <c r="D180" s="17">
        <v>785.80640000000005</v>
      </c>
      <c r="E180" s="18">
        <v>-36.906700000000001</v>
      </c>
      <c r="F180" s="19">
        <f t="shared" si="2"/>
        <v>0.55000000000000004</v>
      </c>
    </row>
    <row r="181" spans="1:6" x14ac:dyDescent="0.3">
      <c r="A181" s="14">
        <v>180</v>
      </c>
      <c r="B181" s="20">
        <v>10.6418</v>
      </c>
      <c r="C181" s="21" t="s">
        <v>23</v>
      </c>
      <c r="D181" s="17">
        <v>796.44820000000004</v>
      </c>
      <c r="E181" s="18">
        <v>-26.265000000000001</v>
      </c>
      <c r="F181" s="19">
        <f t="shared" si="2"/>
        <v>0.55000000000000004</v>
      </c>
    </row>
    <row r="182" spans="1:6" x14ac:dyDescent="0.3">
      <c r="A182" s="14">
        <v>181</v>
      </c>
      <c r="B182" s="20">
        <v>7.8284000000000002</v>
      </c>
      <c r="C182" s="21" t="s">
        <v>23</v>
      </c>
      <c r="D182" s="17">
        <v>804.27660000000003</v>
      </c>
      <c r="E182" s="18">
        <v>-18.436499999999999</v>
      </c>
      <c r="F182" s="19">
        <f t="shared" si="2"/>
        <v>0.6</v>
      </c>
    </row>
    <row r="183" spans="1:6" x14ac:dyDescent="0.3">
      <c r="A183" s="14">
        <v>182</v>
      </c>
      <c r="B183" s="20">
        <v>43.167099999999998</v>
      </c>
      <c r="C183" s="21" t="s">
        <v>23</v>
      </c>
      <c r="D183" s="17">
        <v>847.44370000000004</v>
      </c>
      <c r="E183" s="22">
        <v>0</v>
      </c>
      <c r="F183" s="19">
        <f t="shared" si="2"/>
        <v>0.65</v>
      </c>
    </row>
    <row r="184" spans="1:6" x14ac:dyDescent="0.3">
      <c r="A184" s="14">
        <v>183</v>
      </c>
      <c r="B184" s="15">
        <v>-2.6663000000000001</v>
      </c>
      <c r="C184" s="16" t="s">
        <v>22</v>
      </c>
      <c r="D184" s="17">
        <v>844.77750000000003</v>
      </c>
      <c r="E184" s="18">
        <v>-2.6663000000000001</v>
      </c>
      <c r="F184" s="19">
        <f t="shared" si="2"/>
        <v>0.65</v>
      </c>
    </row>
    <row r="185" spans="1:6" x14ac:dyDescent="0.3">
      <c r="A185" s="14">
        <v>184</v>
      </c>
      <c r="B185" s="20">
        <v>0</v>
      </c>
      <c r="C185" s="21" t="s">
        <v>23</v>
      </c>
      <c r="D185" s="17">
        <v>844.77750000000003</v>
      </c>
      <c r="E185" s="18">
        <v>-2.6663000000000001</v>
      </c>
      <c r="F185" s="19">
        <f t="shared" si="2"/>
        <v>0.7</v>
      </c>
    </row>
    <row r="186" spans="1:6" x14ac:dyDescent="0.3">
      <c r="A186" s="14">
        <v>185</v>
      </c>
      <c r="B186" s="20">
        <v>16.9085</v>
      </c>
      <c r="C186" s="21" t="s">
        <v>23</v>
      </c>
      <c r="D186" s="17">
        <v>861.68589999999995</v>
      </c>
      <c r="E186" s="22">
        <v>0</v>
      </c>
      <c r="F186" s="19">
        <f t="shared" si="2"/>
        <v>0.75</v>
      </c>
    </row>
    <row r="187" spans="1:6" x14ac:dyDescent="0.3">
      <c r="A187" s="14">
        <v>186</v>
      </c>
      <c r="B187" s="20">
        <v>9.7567000000000004</v>
      </c>
      <c r="C187" s="21" t="s">
        <v>23</v>
      </c>
      <c r="D187" s="17">
        <v>871.44259999999997</v>
      </c>
      <c r="E187" s="22">
        <v>0</v>
      </c>
      <c r="F187" s="19">
        <f t="shared" si="2"/>
        <v>0.8</v>
      </c>
    </row>
    <row r="188" spans="1:6" x14ac:dyDescent="0.3">
      <c r="A188" s="14">
        <v>187</v>
      </c>
      <c r="B188" s="20">
        <v>4.4588000000000001</v>
      </c>
      <c r="C188" s="21" t="s">
        <v>23</v>
      </c>
      <c r="D188" s="17">
        <v>875.90150000000006</v>
      </c>
      <c r="E188" s="22">
        <v>0</v>
      </c>
      <c r="F188" s="19">
        <f t="shared" si="2"/>
        <v>0.8</v>
      </c>
    </row>
    <row r="189" spans="1:6" x14ac:dyDescent="0.3">
      <c r="A189" s="14">
        <v>188</v>
      </c>
      <c r="B189" s="15">
        <v>-0.26979999999999998</v>
      </c>
      <c r="C189" s="16" t="s">
        <v>22</v>
      </c>
      <c r="D189" s="17">
        <v>875.63170000000002</v>
      </c>
      <c r="E189" s="18">
        <v>-0.26979999999999998</v>
      </c>
      <c r="F189" s="19">
        <f t="shared" si="2"/>
        <v>0.75</v>
      </c>
    </row>
    <row r="190" spans="1:6" x14ac:dyDescent="0.3">
      <c r="A190" s="14">
        <v>189</v>
      </c>
      <c r="B190" s="15">
        <v>-2.3805999999999998</v>
      </c>
      <c r="C190" s="16" t="s">
        <v>22</v>
      </c>
      <c r="D190" s="17">
        <v>873.25109999999995</v>
      </c>
      <c r="E190" s="18">
        <v>-2.6503999999999999</v>
      </c>
      <c r="F190" s="19">
        <f t="shared" si="2"/>
        <v>0.7</v>
      </c>
    </row>
    <row r="191" spans="1:6" x14ac:dyDescent="0.3">
      <c r="A191" s="14">
        <v>190</v>
      </c>
      <c r="B191" s="20">
        <v>6.1153000000000004</v>
      </c>
      <c r="C191" s="21" t="s">
        <v>23</v>
      </c>
      <c r="D191" s="17">
        <v>879.3664</v>
      </c>
      <c r="E191" s="22">
        <v>0</v>
      </c>
      <c r="F191" s="19">
        <f t="shared" si="2"/>
        <v>0.7</v>
      </c>
    </row>
    <row r="192" spans="1:6" x14ac:dyDescent="0.3">
      <c r="A192" s="14">
        <v>191</v>
      </c>
      <c r="B192" s="15">
        <v>-7.2539999999999996</v>
      </c>
      <c r="C192" s="16" t="s">
        <v>22</v>
      </c>
      <c r="D192" s="17">
        <v>872.11239999999998</v>
      </c>
      <c r="E192" s="18">
        <v>-7.2539999999999996</v>
      </c>
      <c r="F192" s="19">
        <f t="shared" si="2"/>
        <v>0.65</v>
      </c>
    </row>
    <row r="193" spans="1:6" x14ac:dyDescent="0.3">
      <c r="A193" s="14">
        <v>192</v>
      </c>
      <c r="B193" s="20">
        <v>23.081</v>
      </c>
      <c r="C193" s="21" t="s">
        <v>23</v>
      </c>
      <c r="D193" s="17">
        <v>895.1934</v>
      </c>
      <c r="E193" s="22">
        <v>0</v>
      </c>
      <c r="F193" s="19">
        <f t="shared" si="2"/>
        <v>0.65</v>
      </c>
    </row>
    <row r="194" spans="1:6" x14ac:dyDescent="0.3">
      <c r="A194" s="14">
        <v>193</v>
      </c>
      <c r="B194" s="15">
        <v>-16.3325</v>
      </c>
      <c r="C194" s="16" t="s">
        <v>22</v>
      </c>
      <c r="D194" s="17">
        <v>878.86090000000002</v>
      </c>
      <c r="E194" s="18">
        <v>-16.3325</v>
      </c>
      <c r="F194" s="19">
        <f t="shared" si="2"/>
        <v>0.6</v>
      </c>
    </row>
    <row r="195" spans="1:6" x14ac:dyDescent="0.3">
      <c r="A195" s="14">
        <v>194</v>
      </c>
      <c r="B195" s="15">
        <v>-55.497700000000002</v>
      </c>
      <c r="C195" s="16" t="s">
        <v>22</v>
      </c>
      <c r="D195" s="17">
        <v>823.36329999999998</v>
      </c>
      <c r="E195" s="18">
        <v>-71.830200000000005</v>
      </c>
      <c r="F195" s="19">
        <f t="shared" si="2"/>
        <v>0.6</v>
      </c>
    </row>
    <row r="196" spans="1:6" x14ac:dyDescent="0.3">
      <c r="A196" s="14">
        <v>195</v>
      </c>
      <c r="B196" s="20">
        <v>4.0571999999999999</v>
      </c>
      <c r="C196" s="21" t="s">
        <v>23</v>
      </c>
      <c r="D196" s="17">
        <v>827.42049999999995</v>
      </c>
      <c r="E196" s="18">
        <v>-67.772900000000007</v>
      </c>
      <c r="F196" s="19">
        <f t="shared" si="2"/>
        <v>0.6</v>
      </c>
    </row>
    <row r="197" spans="1:6" x14ac:dyDescent="0.3">
      <c r="A197" s="14">
        <v>196</v>
      </c>
      <c r="B197" s="15">
        <v>-14.2559</v>
      </c>
      <c r="C197" s="16" t="s">
        <v>22</v>
      </c>
      <c r="D197" s="17">
        <v>813.16459999999995</v>
      </c>
      <c r="E197" s="18">
        <v>-82.028800000000004</v>
      </c>
      <c r="F197" s="19">
        <f t="shared" si="2"/>
        <v>0.6</v>
      </c>
    </row>
    <row r="198" spans="1:6" x14ac:dyDescent="0.3">
      <c r="A198" s="14">
        <v>197</v>
      </c>
      <c r="B198" s="20">
        <v>16.653700000000001</v>
      </c>
      <c r="C198" s="21" t="s">
        <v>23</v>
      </c>
      <c r="D198" s="17">
        <v>829.81830000000002</v>
      </c>
      <c r="E198" s="18">
        <v>-65.375100000000003</v>
      </c>
      <c r="F198" s="19">
        <f t="shared" si="2"/>
        <v>0.6</v>
      </c>
    </row>
    <row r="199" spans="1:6" x14ac:dyDescent="0.3">
      <c r="A199" s="14">
        <v>198</v>
      </c>
      <c r="B199" s="20">
        <v>28.19</v>
      </c>
      <c r="C199" s="21" t="s">
        <v>23</v>
      </c>
      <c r="D199" s="17">
        <v>858.00829999999996</v>
      </c>
      <c r="E199" s="18">
        <v>-37.185099999999998</v>
      </c>
      <c r="F199" s="19">
        <f t="shared" si="2"/>
        <v>0.65</v>
      </c>
    </row>
    <row r="200" spans="1:6" x14ac:dyDescent="0.3">
      <c r="A200" s="14">
        <v>199</v>
      </c>
      <c r="B200" s="20">
        <v>12.5168</v>
      </c>
      <c r="C200" s="21" t="s">
        <v>23</v>
      </c>
      <c r="D200" s="17">
        <v>870.52520000000004</v>
      </c>
      <c r="E200" s="18">
        <v>-24.668299999999999</v>
      </c>
      <c r="F200" s="19">
        <f t="shared" si="2"/>
        <v>0.65</v>
      </c>
    </row>
    <row r="201" spans="1:6" x14ac:dyDescent="0.3">
      <c r="A201" s="14">
        <v>200</v>
      </c>
      <c r="B201" s="20">
        <v>25.633800000000001</v>
      </c>
      <c r="C201" s="21" t="s">
        <v>23</v>
      </c>
      <c r="D201" s="17">
        <v>896.15899999999999</v>
      </c>
      <c r="E201" s="22">
        <v>0</v>
      </c>
      <c r="F201" s="19">
        <f t="shared" si="2"/>
        <v>0.65</v>
      </c>
    </row>
    <row r="202" spans="1:6" x14ac:dyDescent="0.3">
      <c r="A202" s="14">
        <v>201</v>
      </c>
      <c r="B202" s="20">
        <v>13.829599999999999</v>
      </c>
      <c r="C202" s="21" t="s">
        <v>23</v>
      </c>
      <c r="D202" s="17">
        <v>909.98860000000002</v>
      </c>
      <c r="E202" s="22">
        <v>0</v>
      </c>
      <c r="F202" s="19">
        <f t="shared" si="2"/>
        <v>0.65</v>
      </c>
    </row>
    <row r="203" spans="1:6" x14ac:dyDescent="0.3">
      <c r="A203" s="14">
        <v>202</v>
      </c>
      <c r="B203" s="15">
        <v>-5.0262000000000002</v>
      </c>
      <c r="C203" s="16" t="s">
        <v>22</v>
      </c>
      <c r="D203" s="17">
        <v>904.96249999999998</v>
      </c>
      <c r="E203" s="18">
        <v>-5.0262000000000002</v>
      </c>
      <c r="F203" s="19">
        <f t="shared" si="2"/>
        <v>0.6</v>
      </c>
    </row>
    <row r="204" spans="1:6" x14ac:dyDescent="0.3">
      <c r="A204" s="14">
        <v>203</v>
      </c>
      <c r="B204" s="20">
        <v>2.2414000000000001</v>
      </c>
      <c r="C204" s="21" t="s">
        <v>23</v>
      </c>
      <c r="D204" s="17">
        <v>907.20389999999998</v>
      </c>
      <c r="E204" s="18">
        <v>-2.7847</v>
      </c>
      <c r="F204" s="19">
        <f t="shared" si="2"/>
        <v>0.65</v>
      </c>
    </row>
    <row r="205" spans="1:6" x14ac:dyDescent="0.3">
      <c r="A205" s="14">
        <v>204</v>
      </c>
      <c r="B205" s="15">
        <v>-3.9074</v>
      </c>
      <c r="C205" s="16" t="s">
        <v>22</v>
      </c>
      <c r="D205" s="17">
        <v>903.29650000000004</v>
      </c>
      <c r="E205" s="18">
        <v>-6.6920999999999999</v>
      </c>
      <c r="F205" s="19">
        <f t="shared" si="2"/>
        <v>0.6</v>
      </c>
    </row>
    <row r="206" spans="1:6" x14ac:dyDescent="0.3">
      <c r="A206" s="14">
        <v>205</v>
      </c>
      <c r="B206" s="20">
        <v>20.889199999999999</v>
      </c>
      <c r="C206" s="21" t="s">
        <v>23</v>
      </c>
      <c r="D206" s="17">
        <v>924.1857</v>
      </c>
      <c r="E206" s="22">
        <v>0</v>
      </c>
      <c r="F206" s="19">
        <f t="shared" si="2"/>
        <v>0.6</v>
      </c>
    </row>
    <row r="207" spans="1:6" x14ac:dyDescent="0.3">
      <c r="A207" s="14">
        <v>206</v>
      </c>
      <c r="B207" s="15">
        <v>-2.5960999999999999</v>
      </c>
      <c r="C207" s="16" t="s">
        <v>22</v>
      </c>
      <c r="D207" s="17">
        <v>921.58960000000002</v>
      </c>
      <c r="E207" s="18">
        <v>-2.5960999999999999</v>
      </c>
      <c r="F207" s="19">
        <f t="shared" si="2"/>
        <v>0.55000000000000004</v>
      </c>
    </row>
    <row r="208" spans="1:6" x14ac:dyDescent="0.3">
      <c r="A208" s="14">
        <v>207</v>
      </c>
      <c r="B208" s="20">
        <v>10.434799999999999</v>
      </c>
      <c r="C208" s="21" t="s">
        <v>23</v>
      </c>
      <c r="D208" s="17">
        <v>932.02440000000001</v>
      </c>
      <c r="E208" s="22">
        <v>0</v>
      </c>
      <c r="F208" s="19">
        <f t="shared" si="2"/>
        <v>0.55000000000000004</v>
      </c>
    </row>
    <row r="209" spans="1:6" x14ac:dyDescent="0.3">
      <c r="A209" s="14">
        <v>208</v>
      </c>
      <c r="B209" s="20">
        <v>3.6433</v>
      </c>
      <c r="C209" s="21" t="s">
        <v>23</v>
      </c>
      <c r="D209" s="17">
        <v>935.66759999999999</v>
      </c>
      <c r="E209" s="22">
        <v>0</v>
      </c>
      <c r="F209" s="19">
        <f t="shared" si="2"/>
        <v>0.6</v>
      </c>
    </row>
    <row r="210" spans="1:6" x14ac:dyDescent="0.3">
      <c r="A210" s="14">
        <v>209</v>
      </c>
      <c r="B210" s="15">
        <v>-18.136900000000001</v>
      </c>
      <c r="C210" s="16" t="s">
        <v>22</v>
      </c>
      <c r="D210" s="17">
        <v>917.53070000000002</v>
      </c>
      <c r="E210" s="18">
        <v>-18.136900000000001</v>
      </c>
      <c r="F210" s="19">
        <f t="shared" si="2"/>
        <v>0.6</v>
      </c>
    </row>
    <row r="211" spans="1:6" x14ac:dyDescent="0.3">
      <c r="A211" s="14">
        <v>210</v>
      </c>
      <c r="B211" s="15">
        <v>-1.2109000000000001</v>
      </c>
      <c r="C211" s="16" t="s">
        <v>22</v>
      </c>
      <c r="D211" s="17">
        <v>916.31989999999996</v>
      </c>
      <c r="E211" s="18">
        <v>-19.347799999999999</v>
      </c>
      <c r="F211" s="19">
        <f t="shared" si="2"/>
        <v>0.55000000000000004</v>
      </c>
    </row>
    <row r="212" spans="1:6" x14ac:dyDescent="0.3">
      <c r="A212" s="14">
        <v>211</v>
      </c>
      <c r="B212" s="15">
        <v>-22.557300000000001</v>
      </c>
      <c r="C212" s="16" t="s">
        <v>22</v>
      </c>
      <c r="D212" s="17">
        <v>893.76250000000005</v>
      </c>
      <c r="E212" s="18">
        <v>-41.905099999999997</v>
      </c>
      <c r="F212" s="19">
        <f t="shared" si="2"/>
        <v>0.55000000000000004</v>
      </c>
    </row>
    <row r="213" spans="1:6" x14ac:dyDescent="0.3">
      <c r="A213" s="14">
        <v>212</v>
      </c>
      <c r="B213" s="15">
        <v>-14.8775</v>
      </c>
      <c r="C213" s="16" t="s">
        <v>22</v>
      </c>
      <c r="D213" s="17">
        <v>878.88509999999997</v>
      </c>
      <c r="E213" s="18">
        <v>-56.782600000000002</v>
      </c>
      <c r="F213" s="19">
        <f t="shared" si="2"/>
        <v>0.5</v>
      </c>
    </row>
    <row r="214" spans="1:6" x14ac:dyDescent="0.3">
      <c r="A214" s="14">
        <v>213</v>
      </c>
      <c r="B214" s="15">
        <v>-1.4117</v>
      </c>
      <c r="C214" s="16" t="s">
        <v>22</v>
      </c>
      <c r="D214" s="17">
        <v>877.47329999999999</v>
      </c>
      <c r="E214" s="18">
        <v>-58.194299999999998</v>
      </c>
      <c r="F214" s="19">
        <f t="shared" ref="F214:F277" si="3">COUNTIF(C195:C214,"WIN")/20</f>
        <v>0.5</v>
      </c>
    </row>
    <row r="215" spans="1:6" x14ac:dyDescent="0.3">
      <c r="A215" s="14">
        <v>214</v>
      </c>
      <c r="B215" s="15">
        <v>-10.815799999999999</v>
      </c>
      <c r="C215" s="16" t="s">
        <v>22</v>
      </c>
      <c r="D215" s="17">
        <v>866.65750000000003</v>
      </c>
      <c r="E215" s="18">
        <v>-69.010099999999994</v>
      </c>
      <c r="F215" s="19">
        <f t="shared" si="3"/>
        <v>0.5</v>
      </c>
    </row>
    <row r="216" spans="1:6" x14ac:dyDescent="0.3">
      <c r="A216" s="14">
        <v>215</v>
      </c>
      <c r="B216" s="20">
        <v>6.6063000000000001</v>
      </c>
      <c r="C216" s="21" t="s">
        <v>23</v>
      </c>
      <c r="D216" s="17">
        <v>873.26379999999995</v>
      </c>
      <c r="E216" s="18">
        <v>-62.403799999999997</v>
      </c>
      <c r="F216" s="19">
        <f t="shared" si="3"/>
        <v>0.5</v>
      </c>
    </row>
    <row r="217" spans="1:6" x14ac:dyDescent="0.3">
      <c r="A217" s="14">
        <v>216</v>
      </c>
      <c r="B217" s="20">
        <v>31.5823</v>
      </c>
      <c r="C217" s="21" t="s">
        <v>23</v>
      </c>
      <c r="D217" s="17">
        <v>904.84609999999998</v>
      </c>
      <c r="E217" s="18">
        <v>-30.8215</v>
      </c>
      <c r="F217" s="19">
        <f t="shared" si="3"/>
        <v>0.55000000000000004</v>
      </c>
    </row>
    <row r="218" spans="1:6" x14ac:dyDescent="0.3">
      <c r="A218" s="14">
        <v>217</v>
      </c>
      <c r="B218" s="20">
        <v>24.4556</v>
      </c>
      <c r="C218" s="21" t="s">
        <v>23</v>
      </c>
      <c r="D218" s="17">
        <v>929.30169999999998</v>
      </c>
      <c r="E218" s="18">
        <v>-6.3658999999999999</v>
      </c>
      <c r="F218" s="19">
        <f t="shared" si="3"/>
        <v>0.55000000000000004</v>
      </c>
    </row>
    <row r="219" spans="1:6" x14ac:dyDescent="0.3">
      <c r="A219" s="14">
        <v>218</v>
      </c>
      <c r="B219" s="20">
        <v>31.895800000000001</v>
      </c>
      <c r="C219" s="21" t="s">
        <v>23</v>
      </c>
      <c r="D219" s="17">
        <v>961.19749999999999</v>
      </c>
      <c r="E219" s="22">
        <v>0</v>
      </c>
      <c r="F219" s="19">
        <f t="shared" si="3"/>
        <v>0.55000000000000004</v>
      </c>
    </row>
    <row r="220" spans="1:6" x14ac:dyDescent="0.3">
      <c r="A220" s="14">
        <v>219</v>
      </c>
      <c r="B220" s="15">
        <v>-0.53449999999999998</v>
      </c>
      <c r="C220" s="16" t="s">
        <v>22</v>
      </c>
      <c r="D220" s="17">
        <v>960.66290000000004</v>
      </c>
      <c r="E220" s="18">
        <v>-0.53449999999999998</v>
      </c>
      <c r="F220" s="19">
        <f t="shared" si="3"/>
        <v>0.5</v>
      </c>
    </row>
    <row r="221" spans="1:6" x14ac:dyDescent="0.3">
      <c r="A221" s="14">
        <v>220</v>
      </c>
      <c r="B221" s="20">
        <v>9.4803999999999995</v>
      </c>
      <c r="C221" s="21" t="s">
        <v>23</v>
      </c>
      <c r="D221" s="17">
        <v>970.14329999999995</v>
      </c>
      <c r="E221" s="22">
        <v>0</v>
      </c>
      <c r="F221" s="19">
        <f t="shared" si="3"/>
        <v>0.5</v>
      </c>
    </row>
    <row r="222" spans="1:6" x14ac:dyDescent="0.3">
      <c r="A222" s="14">
        <v>221</v>
      </c>
      <c r="B222" s="20">
        <v>8.0619999999999994</v>
      </c>
      <c r="C222" s="21" t="s">
        <v>23</v>
      </c>
      <c r="D222" s="17">
        <v>978.20529999999997</v>
      </c>
      <c r="E222" s="22">
        <v>0</v>
      </c>
      <c r="F222" s="19">
        <f t="shared" si="3"/>
        <v>0.5</v>
      </c>
    </row>
    <row r="223" spans="1:6" x14ac:dyDescent="0.3">
      <c r="A223" s="14">
        <v>222</v>
      </c>
      <c r="B223" s="20">
        <v>20.271000000000001</v>
      </c>
      <c r="C223" s="21" t="s">
        <v>23</v>
      </c>
      <c r="D223" s="17">
        <v>998.47630000000004</v>
      </c>
      <c r="E223" s="22">
        <v>0</v>
      </c>
      <c r="F223" s="19">
        <f t="shared" si="3"/>
        <v>0.55000000000000004</v>
      </c>
    </row>
    <row r="224" spans="1:6" x14ac:dyDescent="0.3">
      <c r="A224" s="14">
        <v>223</v>
      </c>
      <c r="B224" s="15">
        <v>-15.0587</v>
      </c>
      <c r="C224" s="16" t="s">
        <v>22</v>
      </c>
      <c r="D224" s="17">
        <v>983.41759999999999</v>
      </c>
      <c r="E224" s="18">
        <v>-15.0587</v>
      </c>
      <c r="F224" s="19">
        <f t="shared" si="3"/>
        <v>0.5</v>
      </c>
    </row>
    <row r="225" spans="1:6" x14ac:dyDescent="0.3">
      <c r="A225" s="14">
        <v>224</v>
      </c>
      <c r="B225" s="15">
        <v>-4.6497000000000002</v>
      </c>
      <c r="C225" s="16" t="s">
        <v>22</v>
      </c>
      <c r="D225" s="17">
        <v>978.76790000000005</v>
      </c>
      <c r="E225" s="18">
        <v>-19.708400000000001</v>
      </c>
      <c r="F225" s="19">
        <f t="shared" si="3"/>
        <v>0.5</v>
      </c>
    </row>
    <row r="226" spans="1:6" x14ac:dyDescent="0.3">
      <c r="A226" s="14">
        <v>225</v>
      </c>
      <c r="B226" s="20">
        <v>2.3111000000000002</v>
      </c>
      <c r="C226" s="21" t="s">
        <v>23</v>
      </c>
      <c r="D226" s="17">
        <v>981.07899999999995</v>
      </c>
      <c r="E226" s="18">
        <v>-17.397300000000001</v>
      </c>
      <c r="F226" s="19">
        <f t="shared" si="3"/>
        <v>0.5</v>
      </c>
    </row>
    <row r="227" spans="1:6" x14ac:dyDescent="0.3">
      <c r="A227" s="14">
        <v>226</v>
      </c>
      <c r="B227" s="20">
        <v>8.5914000000000001</v>
      </c>
      <c r="C227" s="21" t="s">
        <v>23</v>
      </c>
      <c r="D227" s="17">
        <v>989.67039999999997</v>
      </c>
      <c r="E227" s="18">
        <v>-8.8058999999999994</v>
      </c>
      <c r="F227" s="19">
        <f t="shared" si="3"/>
        <v>0.55000000000000004</v>
      </c>
    </row>
    <row r="228" spans="1:6" x14ac:dyDescent="0.3">
      <c r="A228" s="14">
        <v>227</v>
      </c>
      <c r="B228" s="20">
        <v>2.1101999999999999</v>
      </c>
      <c r="C228" s="21" t="s">
        <v>23</v>
      </c>
      <c r="D228" s="17">
        <v>991.78060000000005</v>
      </c>
      <c r="E228" s="18">
        <v>-6.6957000000000004</v>
      </c>
      <c r="F228" s="19">
        <f t="shared" si="3"/>
        <v>0.55000000000000004</v>
      </c>
    </row>
    <row r="229" spans="1:6" x14ac:dyDescent="0.3">
      <c r="A229" s="14">
        <v>228</v>
      </c>
      <c r="B229" s="20">
        <v>6.7996999999999996</v>
      </c>
      <c r="C229" s="21" t="s">
        <v>23</v>
      </c>
      <c r="D229" s="17">
        <v>998.58019999999999</v>
      </c>
      <c r="E229" s="22">
        <v>0</v>
      </c>
      <c r="F229" s="19">
        <f t="shared" si="3"/>
        <v>0.55000000000000004</v>
      </c>
    </row>
    <row r="230" spans="1:6" x14ac:dyDescent="0.3">
      <c r="A230" s="14">
        <v>229</v>
      </c>
      <c r="B230" s="20">
        <v>1.0423</v>
      </c>
      <c r="C230" s="21" t="s">
        <v>23</v>
      </c>
      <c r="D230" s="17">
        <v>999.62249999999995</v>
      </c>
      <c r="E230" s="22">
        <v>0</v>
      </c>
      <c r="F230" s="19">
        <f t="shared" si="3"/>
        <v>0.6</v>
      </c>
    </row>
    <row r="231" spans="1:6" x14ac:dyDescent="0.3">
      <c r="A231" s="14">
        <v>230</v>
      </c>
      <c r="B231" s="20">
        <v>8.9383999999999997</v>
      </c>
      <c r="C231" s="21" t="s">
        <v>23</v>
      </c>
      <c r="D231" s="17">
        <v>1008.5608999999999</v>
      </c>
      <c r="E231" s="22">
        <v>0</v>
      </c>
      <c r="F231" s="19">
        <f t="shared" si="3"/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BOGHOS AZIZIAN Emin</cp:lastModifiedBy>
  <dcterms:created xsi:type="dcterms:W3CDTF">2026-05-17T23:29:40Z</dcterms:created>
  <dcterms:modified xsi:type="dcterms:W3CDTF">2026-05-26T17:07:09Z</dcterms:modified>
</cp:coreProperties>
</file>